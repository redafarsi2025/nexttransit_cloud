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01 - معلومات المشروع" sheetId="1" r:id="rId1"/>
    <sheet name="02 - الميزانية التفصيلية" sheetId="2" r:id="rId2"/>
    <sheet name="03 - الملخص" sheetId="3" r:id="rId3"/>
    <sheet name="04 - دفتر الشروط" sheetId="4" r:id="rId4"/>
    <sheet name="05 - الدليل السريع"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164" formatCode="#,##0&quot; DA&quot;"/>
    <numFmt numFmtId="165" formatCode="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ali@gmail.com" TargetMode="External"/></Relationships>
</file>

<file path=xl/worksheets/sheet1.xml><?xml version="1.0" encoding="utf-8"?>
<worksheet xmlns="http://schemas.openxmlformats.org/spreadsheetml/2006/main" xmlns:r="http://schemas.openxmlformats.org/officeDocument/2006/relationships">
  <dimension ref="A1:Z1000"/>
  <sheetViews>
    <sheetView workbookViewId="0" rightToLeft="1"/>
  </sheetViews>
  <sheetData>
    <row r="1">
      <c r="B1" t="str">
        <v>برنامج بروتوماركت — الطبعة الثانية</v>
      </c>
    </row>
    <row r="2">
      <c r="B2" t="str">
        <v>بطاقة تعريف المشروع</v>
      </c>
    </row>
    <row r="3">
      <c r="B3" t="str">
        <v>وزارة التعليم العالي والبحث العلمي</v>
      </c>
    </row>
    <row r="5">
      <c r="B5" t="str">
        <v>أولاً. تعريف المشروع</v>
      </c>
      <c r="L5" t="str">
        <v>المجال</v>
      </c>
    </row>
    <row r="6">
      <c r="B6" t="str">
        <v>رقم ملف بروتوماركت</v>
      </c>
      <c r="C6" t="str">
        <v>NT-2026-001</v>
      </c>
      <c r="L6" t="str">
        <v>تكنولوجيات الرقمنة والاقتصاد الرقمي</v>
      </c>
    </row>
    <row r="7">
      <c r="B7" t="str">
        <v>عنوان المشروع</v>
      </c>
      <c r="C7" t="str">
        <v>NextTransit</v>
      </c>
      <c r="L7" t="str">
        <v>الذكاء الاصطناعي وعلم البيانات</v>
      </c>
    </row>
    <row r="8">
      <c r="B8" t="str">
        <v>مجال المشروع</v>
      </c>
      <c r="C8" t="str">
        <v>الذكاء الاصطناعي وعلم البيانات</v>
      </c>
      <c r="L8" t="str">
        <v>إنترنت الأشياء والأنظمة المدمجة</v>
      </c>
    </row>
    <row r="9">
      <c r="B9" t="str">
        <v>المجال الفرعي</v>
      </c>
      <c r="C9" t="str">
        <v>07. الذكاء الاصطناعي للصناعة (الصيانة التنبؤية، مراقبة الجودة)</v>
      </c>
      <c r="L9" t="str">
        <v>الروبوتيك والميكاترونيك</v>
      </c>
    </row>
    <row r="10">
      <c r="B10" t="str">
        <v>مستوى النضج التكنولوجي (TRL)</v>
      </c>
      <c r="C10" t="str">
        <v>TRL 05 — نموذج أولي وظيفي مُنشر (Prototype V0 على Vercel)</v>
      </c>
      <c r="L10" t="str">
        <v>الهندسة الميكانيكية والصناعية</v>
      </c>
    </row>
    <row r="11">
      <c r="L11" t="str">
        <v>هندسة العمليات والبيئة</v>
      </c>
    </row>
    <row r="12">
      <c r="B12" t="str">
        <v>ثانياً. حامل المشروع (رئيس الفريق)</v>
      </c>
      <c r="L12" t="str">
        <v>التكنولوجيا الحيوية وعلوم الحياة</v>
      </c>
    </row>
    <row r="13">
      <c r="B13" t="str">
        <v>الاسم واللقب</v>
      </c>
      <c r="C13" t="str">
        <v>فرسي محمد أكرم</v>
      </c>
      <c r="L13" t="str">
        <v>الصحة والصيدلة والأجهزة الطبية</v>
      </c>
    </row>
    <row r="14">
      <c r="B14" t="str">
        <v>رقم بطاقة التعريف الوطنية</v>
      </c>
      <c r="L14" t="str">
        <v>الصناعات الغذائية والتغذية والزراعة</v>
      </c>
    </row>
    <row r="15">
      <c r="B15" t="str">
        <v>البريد الإلكتروني</v>
      </c>
      <c r="C15" t="str">
        <v>akram@nexttransit.dz</v>
      </c>
      <c r="L15" t="str">
        <v>المواد والكيمياء وتكنولوجيا النانو</v>
      </c>
    </row>
    <row r="16">
      <c r="B16" t="str">
        <v>رقم الهاتف</v>
      </c>
      <c r="L16" t="str">
        <v>البناء والسكن والهندسة المدنية</v>
      </c>
    </row>
    <row r="17">
      <c r="B17" t="str">
        <v>التخصص / الشعبة</v>
      </c>
      <c r="C17" t="str">
        <v>ماستر تكنولوجيا المعلومات — إدارة الأعمال</v>
      </c>
      <c r="L17" t="str">
        <v>الطاقة والتنمية المستدامة</v>
      </c>
    </row>
    <row r="18">
      <c r="B18" t="str">
        <v>سنة الدراسة / الوضع</v>
      </c>
      <c r="C18" t="str">
        <v>2025-2026 — خريج</v>
      </c>
      <c r="L18" t="str">
        <v>النقل والتنقل واللوجستيك</v>
      </c>
    </row>
    <row r="19">
      <c r="L19" t="str">
        <v>الخدمات والاقتصاد الإبداعي والإدماج</v>
      </c>
    </row>
    <row r="20">
      <c r="B20" t="str">
        <v>ثالثاً. المؤسسة وحاضنة الأعمال</v>
      </c>
    </row>
    <row r="21">
      <c r="B21" t="str">
        <v>مؤسسة التعليم العالي</v>
      </c>
    </row>
    <row r="22">
      <c r="B22" t="str">
        <v>الولاية</v>
      </c>
      <c r="C22" t="str">
        <v>الجزائر</v>
      </c>
    </row>
    <row r="23">
      <c r="B23" t="str">
        <v>الحاضنة الجامعية</v>
      </c>
    </row>
    <row r="24">
      <c r="B24" t="str">
        <v>اسم مدير الحاضنة</v>
      </c>
    </row>
    <row r="25">
      <c r="B25" t="str">
        <v>البريد الإلكتروني للحاضنة</v>
      </c>
    </row>
    <row r="27">
      <c r="B27" t="str">
        <v>رابعاً. تمويل بروتوماركت</v>
      </c>
    </row>
    <row r="28">
      <c r="B28" t="str">
        <v>مستوى التمويل الممنوح</v>
      </c>
      <c r="C28" t="str">
        <v xml:space="preserve"> | المستوى 2 — 1,500,000 دينار جزائري (مشاريع رقمية متقدمة / الذكاء الاصطناعي / إنترنت الأشياء / التكنولوجيا الحيوية / الصناعات الغذائية الزراعية) |</v>
      </c>
      <c r="E28" t="str">
        <v>المستوى 1 — 1,000,000 دينار جزائري (مشاريع رقمية بسيطة)</v>
      </c>
    </row>
    <row r="29">
      <c r="B29" t="str">
        <v>المبلغ الممنوح من اللجنة الوطنية (دج)</v>
      </c>
      <c r="C29">
        <v>1500000</v>
      </c>
      <c r="E29" t="str">
        <v xml:space="preserve"> | المستوى 2 — 1,500,000 دينار جزائري (مشاريع رقمية متقدمة / الذكاء الاصطناعي / إنترنت الأشياء / التكنولوجيا الحيوية / الصناعات الغذائية الزراعية) |</v>
      </c>
    </row>
    <row r="30">
      <c r="B30" t="str">
        <v>تاريخ الإشعار بالتمويل</v>
      </c>
      <c r="C30">
        <v>46286</v>
      </c>
      <c r="E30" t="str">
        <v xml:space="preserve"> المستوى 3 — 2,000,000 دينار جزائري (مشاريع عتاد معقدة / الروبوتات / هندسة العمليات / الأجهزة الطبية)</v>
      </c>
    </row>
    <row r="31">
      <c r="B31" t="str">
        <v>إجمالي المبلغ المطلوب في هذا الملف (دج)</v>
      </c>
      <c r="C31">
        <f>IFERROR('03 - الملخص'!C21,"")</f>
        <v>1282000</v>
      </c>
    </row>
    <row r="32">
      <c r="B32" t="str">
        <v>الفارق (المبلغ الممنوح - المبلغ المطلوب) (دج)</v>
      </c>
      <c r="C32">
        <f>IFERROR(C29-C31,"")</f>
        <v>218000</v>
      </c>
    </row>
    <row r="34">
      <c r="B34" t="str">
        <v>⚠️  هام: يُحوَّل تمويل بروتوماركت مباشرةً إلى الجامعة. لا يتلقى حامل المشروع أي مبلغ نقدي. تُنفَّذ جميع المشتريات من قِبَل الجامعة وفقاً لقانون الصفقات العمومية الجزائري.</v>
      </c>
    </row>
  </sheetData>
  <mergeCells count="8">
    <mergeCell ref="B20:D20"/>
    <mergeCell ref="B27:D27"/>
    <mergeCell ref="B34:D36"/>
    <mergeCell ref="B1:D1"/>
    <mergeCell ref="B2:D2"/>
    <mergeCell ref="B3:D3"/>
    <mergeCell ref="B5:D5"/>
    <mergeCell ref="B12:D12"/>
  </mergeCells>
  <dataValidations count="2">
    <dataValidation type="list" allowBlank="1" showErrorMessage="1" sqref="L5 C8">
      <formula1>$L$6:$L$19</formula1>
      <formula2>0</formula2>
    </dataValidation>
    <dataValidation type="list" allowBlank="1" sqref="C28">
      <formula1>$E$28:$E$30</formula1>
      <formula2>0</formula2>
    </dataValidation>
  </dataValidations>
  <hyperlinks>
    <hyperlink ref="C15" r:id="rId1"/>
  </hyperlinks>
  <pageMargins left="0.75" right="0.75" top="1" bottom="1" header="0.511811023622047" footer="0.511811023622047"/>
  <ignoredErrors>
    <ignoredError numberStoredAsText="1" sqref="A1:Z1000"/>
  </ignoredErrors>
</worksheet>
</file>

<file path=xl/worksheets/sheet2.xml><?xml version="1.0" encoding="utf-8"?>
<worksheet xmlns="http://schemas.openxmlformats.org/spreadsheetml/2006/main" xmlns:r="http://schemas.openxmlformats.org/officeDocument/2006/relationships">
  <dimension ref="A1:Z1000"/>
  <sheetViews>
    <sheetView workbookViewId="0" rightToLeft="1"/>
  </sheetViews>
  <sheetData>
    <row r="1">
      <c r="A1" t="str">
        <v>برنامج بروتوماركت II — الميزانية التفصيلية لاحتياجات النمذجة الأولية</v>
      </c>
    </row>
    <row r="2">
      <c r="A2" t="str">
        <v>تُنجز المشتريات من قبل الجامعة عبر طلبات العروض وفق قانون الصفقات العمومية الجزائري. لا يتلقى حامل المشروع أي مبلغ نقدي. الأعمدة أ←ح: يملأها الحامل. الأعمدة ط←ك: محجوزة للجنة.</v>
      </c>
    </row>
    <row r="3">
      <c r="A3" t="str">
        <v>▶  جزء حامل المشروع  (يجب ملؤه إلزامياً)</v>
      </c>
      <c r="I3" t="str">
        <v>▶  محجوز للجنة الوطنية</v>
      </c>
    </row>
    <row r="4" xml:space="preserve">
      <c r="A4" t="str">
        <v>الرقم</v>
      </c>
      <c r="B4" t="str">
        <v>فئة الشراء</v>
      </c>
      <c r="C4" t="str">
        <v>التسمية الدقيقة للمادة</v>
      </c>
      <c r="D4" t="str" xml:space="preserve">
        <v xml:space="preserve">المواصفات_x000d_
التقنية</v>
      </c>
      <c r="E4" t="str">
        <v>الكمية</v>
      </c>
      <c r="F4" t="str" xml:space="preserve">
        <v xml:space="preserve">السعر الوحدوي_x000d_
التقديري (دج)</v>
      </c>
      <c r="G4" t="str" xml:space="preserve">
        <v xml:space="preserve">المبلغ الإجمالي_x000d_
(دج)</v>
      </c>
      <c r="H4" t="str" xml:space="preserve">
        <v xml:space="preserve">المبرر التقني_x000d_
(الفائدة في النموذج الأولي)</v>
      </c>
      <c r="I4" t="str" xml:space="preserve">
        <v xml:space="preserve">وضعية_x000d_
اللجنة</v>
      </c>
      <c r="J4" t="str" xml:space="preserve">
        <v xml:space="preserve">ملاحظات_x000d_
اللجنة</v>
      </c>
      <c r="K4" t="str" xml:space="preserve">
        <v xml:space="preserve">المبلغ_x000d_
المُعتمَد (دج)</v>
      </c>
    </row>
    <row r="5">
      <c r="A5">
        <v>1</v>
      </c>
      <c r="B5" t="str">
        <v>3.05 - Développement logiciel</v>
      </c>
      <c r="C5" t="str">
        <v>Serveur bare-metal dédié — Icosnet Algeria</v>
      </c>
      <c r="D5" t="str">
        <v>CPU ≥ 8 vCPU, RAM ≥ 32 GB DDR4, Stockage SSD NVMe ≥ 500 GB, Bande passante ≥ 1 Gbps, OS Linux Ubuntu Server 22.04 LTS, Uptime SLA 99.9%, hébergement 100% algérien conforme ARPCE 48/2017</v>
      </c>
      <c r="E5">
        <v>12</v>
      </c>
      <c r="F5">
        <v>12000</v>
      </c>
      <c r="G5">
        <f>IFERROR(IF(E5="","",E5*F5),"")</f>
        <v>144000</v>
      </c>
      <c r="H5" t="str">
        <v>Infrastructure d'hébergement souveraine pour le déploiement de la plateforme NextTransit : backend API Express, worker de traitement télémétrique (file BullMQ), moteur CAE. La base de données est hébergée séparément (poste 11, PostgreSQL managé) pour la fiabilité des sauvegardes. L'hébergement algérien est une exigence réglementaire incontournable pour servir les entreprises publiques et stratégiques (ARPCE 48/2017).</v>
      </c>
    </row>
    <row r="6">
      <c r="A6">
        <v>2</v>
      </c>
      <c r="B6" t="str">
        <v>3.05 - Développement logiciel</v>
      </c>
      <c r="C6" t="str">
        <v>Nom de domaine .dz — nexttransit.dz (enregistrement 3 ans)</v>
      </c>
      <c r="D6" t="str">
        <v>Enregistrement domaine de premier niveau .dz, Registrar accrédité par l'ENIC-Algérie, durée 36 mois</v>
      </c>
      <c r="E6">
        <v>1</v>
      </c>
      <c r="F6">
        <v>8000</v>
      </c>
      <c r="G6">
        <f>IFERROR(IF(E6="","",E6*F6),"")</f>
        <v>8000</v>
      </c>
      <c r="H6" t="str">
        <v>Identité numérique officielle de la plateforme NextTransit. Le domaine .dz renforce la crédibilité auprès des entreprises algériennes et est exigé pour la labellisation Startup par le MEKS.</v>
      </c>
    </row>
    <row r="7">
      <c r="A7">
        <v>3</v>
      </c>
      <c r="B7" t="str">
        <v>3.05 - Développement logiciel</v>
      </c>
      <c r="C7" t="str">
        <v>Certificat SSL/TLS Wildcard — DigiCert ou équivalent (3 ans)</v>
      </c>
      <c r="D7" t="str">
        <v>Certificat Wildcard couvrant *.nexttransit.dz et nexttransit.dz, SHA-256, 2048 bits minimum, compatible RFC 5280, durée 36 mois</v>
      </c>
      <c r="E7">
        <v>1</v>
      </c>
      <c r="F7">
        <v>15000</v>
      </c>
      <c r="G7">
        <f>IFERROR(IF(E7="","",E7*F7),"")</f>
        <v>15000</v>
      </c>
      <c r="H7" t="str">
        <v>Sécurisation des communications entre les gestionnaires de flotte, les mécaniciens mobiles et le serveur NextTransit. Obligatoire pour tout échange de données financières et opérationnelles.</v>
      </c>
    </row>
    <row r="8">
      <c r="A8">
        <v>4</v>
      </c>
      <c r="B8" t="str">
        <v>3.09 - Informatique en nuage et services numériques</v>
      </c>
      <c r="C8" t="str">
        <v>Instance Redis managée — file d'attente télémétrie (12 mois)</v>
      </c>
      <c r="D8" t="str">
        <v>Instance Redis managée ≥ 1 GB RAM, persistance AOF activée, hébergeur algérien certifié ARPCE ou partenaire cloud compatible, sauvegardes automatiques quotidiennes, abonnement 12 mois</v>
      </c>
      <c r="E8">
        <v>1</v>
      </c>
      <c r="F8">
        <v>30000</v>
      </c>
      <c r="G8">
        <f>IFERROR(IF(E8="","",E8*F8),"")</f>
        <v>30000</v>
      </c>
      <c r="H8" t="str">
        <v>File d'attente BullMQ qui découple l'ingestion webhook télémétrie (Flespi/Traccar/saisie manuelle) du traitement worker — composant déjà réel et vérifié dans le code (server.ts, worker.ts), mais jusqu'ici hébergé sans budget dédié ni garantie de persistance. Une instance managée évite qu'une panne du serveur applicatif (poste 1) n'entraîne aussi la perte de la file de traitement telemetrique.</v>
      </c>
    </row>
    <row r="9">
      <c r="A9">
        <v>5</v>
      </c>
      <c r="B9" t="str">
        <v>3.06 - Outil d'intelligence artificielle et de données</v>
      </c>
      <c r="C9" t="str">
        <v>Crédits GPU cloud — NVIDIA A100 / V100 via partenaire local (lot de 200h)</v>
      </c>
      <c r="D9" t="str">
        <v>Instance GPU haute performance NVIDIA A100 80 GB ou V100 32 GB, 200 heures de calcul, accès API sécurisé, facturation à la consommation, fournisseur : Icosnet DataCenter ou partenaire cloud certifié algérien</v>
      </c>
      <c r="E9">
        <v>1</v>
      </c>
      <c r="F9">
        <v>80000</v>
      </c>
      <c r="G9">
        <f>IFERROR(IF(E9="","",E9*F9),"")</f>
        <v>80000</v>
      </c>
      <c r="H9" t="str">
        <v>Entraînement initial du modèle de Failure Probability utilisé dans le Capital Allocation Engine (CAE) de NextTransit -- ce modèle est à construire, il n'existe pas encore. Séquencement prévu : après au moins 2-3 mois de collecte réelle de données OBD sur les 7 véhicules pilotes (postes 7-9 ci-dessus), pour disposer d'un jeu d'entraînement représentatif plutôt que synthétique. Le modèle analysera les codes OBD et les historiques de pannes pour prédire la probabilité de défaillance de chaque actif de la flotte.</v>
      </c>
    </row>
    <row r="10">
      <c r="A10">
        <v>6</v>
      </c>
      <c r="B10" t="str">
        <v>3.06 - Outil d'intelligence artificielle et de données</v>
      </c>
      <c r="C10" t="str">
        <v>Annotation de données OBD / logs de maintenance — lot 5 000 entrées</v>
      </c>
      <c r="D10" t="str">
        <v>Prestation d'annotation et d'étiquetage de données techniques : 5 000 entrées de codes OBD et historiques de pannes, schéma d'annotation validé par l'équipe NextTransit, livrable : dataset JSON structuré avec labels de criticité (Faible/Moyen/Élevé/Critique)</v>
      </c>
      <c r="E10">
        <v>1</v>
      </c>
      <c r="F10">
        <v>45000</v>
      </c>
      <c r="G10">
        <f>IFERROR(IF(E10="","",E10*F10),"")</f>
        <v>45000</v>
      </c>
      <c r="H10" t="str">
        <v>Constitution du dataset d'entraînement supervisé pour le modèle de Failure Probability du CAE (poste 5) -- prestation à mener une fois les premières données réelles collectées sur les véhicules pilotes, en les complétant par un jeu de données OBD public/synthétique si le volume réel est encore insuffisant à ce stade du programme.</v>
      </c>
    </row>
    <row r="11">
      <c r="A11">
        <v>7</v>
      </c>
      <c r="B11" t="str">
        <v>3.07 - Systèmes IoT et embarqués</v>
      </c>
      <c r="C11" t="str">
        <v>Dongle OBD-II Bluetooth/Wi-Fi 4G — Teltonika FMB920 ou équivalent</v>
      </c>
      <c r="D11" t="str">
        <v>Interface OBD-II conforme SAE J1979, connectivité 4G LTE Cat-1 + GPS, protocoles : CAN, K-Line, J1850, ISO 15765, RAM ≥ 16 MB, température fonctionnement : -40°C à +85°C, IP54, certifié CE/RoHS</v>
      </c>
      <c r="E11">
        <v>7</v>
      </c>
      <c r="F11">
        <v>28000</v>
      </c>
      <c r="G11">
        <f>IFERROR(IF(E11="","",E11*F11),"")</f>
        <v>196000</v>
      </c>
      <c r="H11" t="str">
        <v>Acquisition des signaux véhicule en temps réel (codes DTC, RPM, température moteur, pression huile) sur la flotte de test NextTransit. 7 unités pour équiper 7 véhicules pilotes lors de la phase de validation terrain (échantillon élargi par rapport à la version précédente du dossier, pour une validation statistiquement plus solide du moteur de règles de priorisation).</v>
      </c>
    </row>
    <row r="12">
      <c r="A12">
        <v>8</v>
      </c>
      <c r="B12" t="str">
        <v>3.07 - Systèmes IoT et embarqués</v>
      </c>
      <c r="C12" t="str">
        <v>Passerelle IoT 4G LTE — Teltonika RUT955 ou équivalent</v>
      </c>
      <c r="D12" t="str">
        <v>Routeur industriel 4G LTE Cat-4, Wi-Fi 802.11 b/g/n, ports LAN ≥ 2×RJ45, entrées/sorties numériques, température fonctionnement : -40°C à +75°C, IP30, certifié CE</v>
      </c>
      <c r="E12">
        <v>2</v>
      </c>
      <c r="F12">
        <v>22000</v>
      </c>
      <c r="G12">
        <f>IFERROR(IF(E12="","",E12*F12),"")</f>
        <v>44000</v>
      </c>
      <c r="H12" t="str">
        <v>Agrégation et transmission sécurisée des données OBD collectées par les dongles vers le backend NextTransit via le réseau 4G algérien. Nécessaire pour les scénarios de connectivité intermittente sur autoroutes.</v>
      </c>
    </row>
    <row r="13">
      <c r="A13">
        <v>9</v>
      </c>
      <c r="B13" t="str">
        <v>3.07 - Systèmes IoT et embarqués</v>
      </c>
      <c r="C13" t="str">
        <v>Carte SIM M2M IoT — opérateur Algérie Télécom ou Mobilis (lot 12 mois × 7 SIM)</v>
      </c>
      <c r="D13" t="str">
        <v>SIM M2M dédiée IoT, forfait données ≥ 500 MB/mois/carte, 7 cartes SIM, abonnement 12 mois, APN dédié, gestion à distance OTA</v>
      </c>
      <c r="E13">
        <v>1</v>
      </c>
      <c r="F13">
        <v>50000</v>
      </c>
      <c r="G13">
        <f>IFERROR(IF(E13="","",E13*F13),"")</f>
        <v>50000</v>
      </c>
      <c r="H13" t="str">
        <v>Connectivité cellulaire pour les 7 dongles OBD Teltonika FMB920 déployés sur les véhicules pilotes. Transmission des trames de données vers le serveur NextTransit 24h/24.</v>
      </c>
    </row>
    <row r="14">
      <c r="A14">
        <v>10</v>
      </c>
      <c r="B14" t="str">
        <v>3.09 - Informatique en nuage et services numériques</v>
      </c>
      <c r="C14" t="str">
        <v>Passerelle SMS API — Twilio Algeria / Infobip (lot 10 000 SMS, 12 mois)</v>
      </c>
      <c r="D14" t="str">
        <v>Service SMS API REST, 10 000 messages sortants, couverture réseau Algérie télécom + Mobilis + Ooredoo, délai de livraison &lt; 5 secondes, rapport de livraison en temps réel, interface d'administration web incluse</v>
      </c>
      <c r="E14">
        <v>1</v>
      </c>
      <c r="F14">
        <v>25000</v>
      </c>
      <c r="G14">
        <f>IFERROR(IF(E14="","",E14*F14),"")</f>
        <v>25000</v>
      </c>
      <c r="H14" t="str">
        <v>Notifications SMS envoyées aux gestionnaires de flotte lors de la détection d'une défaillance critique par le CAE. Canal d'alerte prioritaire garantissant la réactivité même sans accès internet.</v>
      </c>
    </row>
    <row r="15">
      <c r="A15">
        <v>11</v>
      </c>
      <c r="B15" t="str">
        <v>3.09 - Informatique en nuage et services numériques</v>
      </c>
      <c r="C15" t="str">
        <v>Base de données managée PostgreSQL — hébergement algérien (12 mois)</v>
      </c>
      <c r="D15" t="str">
        <v>Instance PostgreSQL ≥ 14, RAM ≥ 8 GB, Stockage SSD ≥ 100 GB, sauvegardes automatiques quotidiennes rétention 30 jours, réplication haute disponibilité, hébergeur algérien certifié ARPCE</v>
      </c>
      <c r="E15">
        <v>1</v>
      </c>
      <c r="F15">
        <v>48000</v>
      </c>
      <c r="G15">
        <f>IFERROR(IF(E15="","",E15*F15),"")</f>
        <v>48000</v>
      </c>
      <c r="H15" t="str">
        <v>Stockage structuré de toutes les données NextTransit : profils actifs, historiques de pannes, résultats CAE, interventions mécaniciens. Hébergement algérien obligatoire pour la conformité réglementaire.</v>
      </c>
    </row>
    <row r="16">
      <c r="A16">
        <v>12</v>
      </c>
      <c r="B16" t="str">
        <v>3.10 - Tests, vérification et validation</v>
      </c>
      <c r="C16" t="str">
        <v>Prestation d'audit de sécurité applicative (Pentest) — cabinet spécialisé</v>
      </c>
      <c r="D16" t="str">
        <v>Audit de sécurité black-box et grey-box de la plateforme web NextTransit, tests OWASP Top 10, test d'injection SQL, XSS, CSRF, authentification, rapport détaillé des vulnérabilités avec recommandations correctives, cabinet certifié OSCP ou CEH, durée ≥ 5 jours/homme</v>
      </c>
      <c r="E16">
        <v>1</v>
      </c>
      <c r="F16">
        <v>120000</v>
      </c>
      <c r="G16">
        <f>IFERROR(IF(E16="","",E16*F16),"")</f>
        <v>120000</v>
      </c>
      <c r="H16" t="str">
        <v>Validation de la sécurité de la plateforme avant le déploiement auprès des premiers clients enterprise. Obligatoire pour traiter des données opérationnelles et financières sensibles de flottes algériennes. Exigence préalable à l'obtention du label Projet Innovant (MEKS).</v>
      </c>
    </row>
    <row r="17">
      <c r="A17">
        <v>13</v>
      </c>
      <c r="B17" t="str">
        <v>3.10 - Tests, vérification et validation</v>
      </c>
      <c r="C17" t="str">
        <v>Tests de charge et performance — outil k6 Cloud ou équivalent (6 mois)</v>
      </c>
      <c r="D17" t="str">
        <v>Service de test de charge automatisé SaaS, ≥ 500 utilisateurs virtuels simultanés, métriques : latence P95 &lt; 200ms, taux d'erreur &lt; 0.1%, rapports de tendance sur 6 mois, intégration CI/CD GitHub Actions</v>
      </c>
      <c r="E17">
        <v>1</v>
      </c>
      <c r="F17">
        <v>18000</v>
      </c>
      <c r="G17">
        <f>IFERROR(IF(E17="","",E17*F17),"")</f>
        <v>18000</v>
      </c>
      <c r="H17" t="str">
        <v>Validation des performances du CAE sous charge réelle : simulation de 50 véhicules transmettant simultanément leurs données OBD. Garantit la stabilité de la plateforme lors du passage à l'échelle.</v>
      </c>
    </row>
    <row r="18">
      <c r="A18">
        <v>14</v>
      </c>
      <c r="B18" t="str">
        <v>3.12 - Propriété intellectuelle</v>
      </c>
      <c r="C18" t="str">
        <v>Dépôt brevet INAPI — Capital Allocation Engine (CAE) NextTransit</v>
      </c>
      <c r="D18" t="str">
        <v>Dépôt de demande de brevet d'invention auprès de l'Institut National Algérien de la Propriété Industrielle (INAPI), objet : algorithme de priorisation budgétaire de maintenance prédictive (formule CAE et moteur de décision), incluant : rédaction revendications, description technique, dessins, taxes officielles INAPI incluses</v>
      </c>
      <c r="E18">
        <v>1</v>
      </c>
      <c r="F18">
        <v>45000</v>
      </c>
      <c r="G18">
        <f>IFERROR(IF(E18="","",E18*F18),"")</f>
        <v>45000</v>
      </c>
      <c r="H18" t="str">
        <v>Protection juridique de l'innovation principale de NextTransit : le Capital Allocation Engine (CAE). Le brevet constitue un actif stratégique pour les levées de fonds futures et renforce le dossier de labellisation Startup.</v>
      </c>
    </row>
    <row r="19">
      <c r="A19">
        <v>15</v>
      </c>
      <c r="B19" t="str">
        <v>3.12 - Propriété intellectuelle</v>
      </c>
      <c r="C19" t="str">
        <v>Dépôt logiciel INAPI — Code source plateforme NextTransit V0</v>
      </c>
      <c r="D19" t="str">
        <v>Enregistrement du code source de la plateforme NextTransit V0 auprès de l'INAPI (protection du logiciel), incluant : empreinte cryptographique SHA-256 du dépôt, certificat de dépôt officiel, taxes INAPI incluses</v>
      </c>
      <c r="E19">
        <v>1</v>
      </c>
      <c r="F19">
        <v>18000</v>
      </c>
      <c r="G19">
        <f>IFERROR(IF(E19="","",E19*F19),"")</f>
        <v>18000</v>
      </c>
      <c r="H19" t="str">
        <v>Protection du code source de la plateforme contre la copie non autorisée. Exigée par la Charte ProtoMarket (Article 10.2) et constitue un prérequis documentaire pour le dossier de labellisation Startup MEKS.</v>
      </c>
    </row>
    <row r="20">
      <c r="A20">
        <v>16</v>
      </c>
      <c r="B20" t="str">
        <v>3.05 - Développement logiciel</v>
      </c>
      <c r="C20" t="str">
        <v>Serveur de développement CI/CD bare-metal — machine de build &amp; tests incubateur</v>
      </c>
      <c r="D20" t="str">
        <v>Mini-PC industriel Intel Core i7 ≥ 12e génération, RAM ≥ 32 GB DDR5, SSD NVMe ≥ 1 TB, OS Ubuntu Server 22.04 LTS, 2× USB-C Thunderbolt, ventilation active, certifié CE — propriété université (sans GPU discret : l'entraînement du modèle IA est couvert par les crédits GPU cloud du poste 5, pas par ce poste)</v>
      </c>
      <c r="E20">
        <v>1</v>
      </c>
      <c r="F20">
        <v>110000</v>
      </c>
      <c r="G20">
        <f>IFERROR(IF(E20="","",E20*F20),"")</f>
        <v>110000</v>
      </c>
      <c r="H20" t="str">
        <v>Serveur physique hébergé dans l'incubateur (propriété universitaire, Art.7 Charte) pour : (1) exécution locale du CAE et des tests hors ligne, (2) CI/CD self-hosted runner en complément de la CI cloud GitHub Actions déjà en place. Distinct d'un ordinateur personnel : usage 24h/24 dédié au prototype. Pas de GPU discret sur ce poste — l'entraînement/inférence du modèle prédictif (poste 5) se fait sur crédits GPU cloud, pour éviter de payer deux fois la même capacité de calcul.</v>
      </c>
    </row>
    <row r="21">
      <c r="A21">
        <v>17</v>
      </c>
      <c r="B21" t="str">
        <v>3.05 - Développement logiciel</v>
      </c>
      <c r="C21" t="str">
        <v>Disque SSD externe NVMe 2 TB × 2 — sauvegarde dataset &amp; modèles AI</v>
      </c>
      <c r="D21" t="str">
        <v>SSD externe NVMe USB-C 3.2 Gen 2 ≥ 2 TB, lecture ≥ 1 000 MB/s, chiffrement matériel AES-256, certifié CE/RoHS</v>
      </c>
      <c r="E21">
        <v>2</v>
      </c>
      <c r="F21">
        <v>25000</v>
      </c>
      <c r="G21">
        <f>IFERROR(IF(E21="","",E21*F21),"")</f>
        <v>50000</v>
      </c>
      <c r="H21" t="str">
        <v>Redondance de sauvegarde des datasets OBD annotés et modèles AI (règle 3-2-1). Protège contre la perte irrémédiable des données d'entraînement.</v>
      </c>
    </row>
    <row r="22">
      <c r="A22">
        <v>18</v>
      </c>
      <c r="B22" t="str">
        <v>3.07 - Systèmes IoT et embarqués</v>
      </c>
      <c r="C22" t="str">
        <v>Capteur vibration + température IoT — Bluetooth LE 5.0 / NB-IoT</v>
      </c>
      <c r="D22" t="str">
        <v>Capteur multimesure : température -40°C à +150°C ±0.5°C, vibration 3 axes ±16g, BLE 5.0 + NB-IoT, batterie ≥ 5 ans, IP67, CE/RoHS</v>
      </c>
      <c r="E22">
        <v>5</v>
      </c>
      <c r="F22">
        <v>18000</v>
      </c>
      <c r="G22">
        <f>IFERROR(IF(E22="","",E22*F22),"")</f>
        <v>90000</v>
      </c>
      <c r="H22" t="str">
        <v>Enrichissement des données véhicule (détection défaillances hors OBD-II : roulements, courroie distribution). Améliore la précision du modèle Failure Probability du CAE NextTransit.</v>
      </c>
    </row>
    <row r="23">
      <c r="A23">
        <v>19</v>
      </c>
      <c r="B23" t="str">
        <v>3.07 - Systèmes IoT et embarqués</v>
      </c>
      <c r="C23" t="str">
        <v>Onduleur UPS Line-Interactive 1500 VA — protection serveur laboratoire</v>
      </c>
      <c r="D23" t="str">
        <v>UPS ≥ 1500 VA / 900 W, autonomie ≥ 8 min, sinusoïdale pure, 2× IEC C13, port USB arrêt automatique, certifié CE</v>
      </c>
      <c r="E23">
        <v>1</v>
      </c>
      <c r="F23">
        <v>35000</v>
      </c>
      <c r="G23">
        <f>IFERROR(IF(E23="","",E23*F23),"")</f>
        <v>35000</v>
      </c>
      <c r="H23" t="str">
        <v>Protection du serveur CI/CD contre coupures électriques fréquentes dans les incubateurs algériens. Évite la corruption des données en cours d'entraînement.</v>
      </c>
    </row>
    <row r="24">
      <c r="A24">
        <v>20</v>
      </c>
      <c r="B24" t="str">
        <v>3.09 - Informatique en nuage et services numériques</v>
      </c>
      <c r="C24" t="str">
        <v>Stockage objet S3-compatible 1 TB — hébergeur algérien Icosnet (12 mois)</v>
      </c>
      <c r="D24" t="str">
        <v>Stockage objet compatible API S3, ≥ 1 TB, bande passante ≥ 1 Gbps, réplication dans 2 datacenters algériens, durabilité 11 nines, certifié ARPCE</v>
      </c>
      <c r="E24">
        <v>1</v>
      </c>
      <c r="F24">
        <v>36000</v>
      </c>
      <c r="G24">
        <f>IFERROR(IF(E24="","",E24*F24),"")</f>
        <v>36000</v>
      </c>
      <c r="H24" t="str">
        <v>Stockage des logs OBD bruts et artifacts modèles AI. Volumétrie estimée 5 véhicules × 10 trames/s × 12 mois dépasse le serveur bare-metal.</v>
      </c>
    </row>
    <row r="25">
      <c r="A25">
        <v>21</v>
      </c>
      <c r="B25" t="str">
        <v>3.10 - Tests, vérification et validation</v>
      </c>
      <c r="C25" t="str">
        <v>Prestation tests d'intégration IoT — ingénieur certifié externe (5 jours/homme)</v>
      </c>
      <c r="D25" t="str">
        <v>Tests bout-en-bout (dongles OBD → passerelle → API NextTransit), validation protocoles CAN/K-Line sur ≥ 3 modèles véhicules, rapport formalisé cas de test + résultats, ingénieur certifié IoT</v>
      </c>
      <c r="E25">
        <v>1</v>
      </c>
      <c r="F25">
        <v>75000</v>
      </c>
      <c r="G25">
        <f>IFERROR(IF(E25="","",E25*F25),"")</f>
        <v>75000</v>
      </c>
      <c r="H25" t="str">
        <v>Validation indépendante de la chaîne collecte IoT avant pilote client. Rapport objectif renforçant le dossier commission ProtoMarket.</v>
      </c>
    </row>
    <row r="26">
      <c r="G26" t="str">
        <f>IFERROR(IF(E26="","",E26*F26),"")</f>
        <v/>
      </c>
    </row>
    <row r="27">
      <c r="G27" t="str">
        <f>IFERROR(IF(E27="","",E27*F27),"")</f>
        <v/>
      </c>
    </row>
    <row r="28">
      <c r="G28" t="str">
        <f>IFERROR(IF(E28="","",E28*F28),"")</f>
        <v/>
      </c>
    </row>
    <row r="29">
      <c r="G29" t="str">
        <f>IFERROR(IF(E29="","",E29*F29),"")</f>
        <v/>
      </c>
    </row>
    <row r="30">
      <c r="G30" t="str">
        <f>IFERROR(IF(E30="","",E30*F30),"")</f>
        <v/>
      </c>
    </row>
    <row r="31">
      <c r="G31" t="str">
        <f>IFERROR(IF(E31="","",E31*F31),"")</f>
        <v/>
      </c>
    </row>
    <row r="32">
      <c r="G32" t="str">
        <f>IFERROR(IF(E32="","",E32*F32),"")</f>
        <v/>
      </c>
    </row>
    <row r="33">
      <c r="G33" t="str">
        <f>IFERROR(IF(E33="","",E33*F33),"")</f>
        <v/>
      </c>
    </row>
    <row r="34">
      <c r="G34" t="str">
        <f>IFERROR(IF(E34="","",E34*F34),"")</f>
        <v/>
      </c>
    </row>
    <row r="35">
      <c r="G35" t="str">
        <f>IFERROR(IF(E35="","",E35*F35),"")</f>
        <v/>
      </c>
    </row>
    <row r="36">
      <c r="G36" t="str">
        <f>IFERROR(IF(E36="","",E36*F36),"")</f>
        <v/>
      </c>
    </row>
    <row r="37">
      <c r="G37" t="str">
        <f>IFERROR(IF(E37="","",E37*F37),"")</f>
        <v/>
      </c>
    </row>
    <row r="38">
      <c r="G38" t="str">
        <f>IFERROR(IF(E38="","",E38*F38),"")</f>
        <v/>
      </c>
    </row>
    <row r="39">
      <c r="G39" t="str">
        <f>IFERROR(IF(E39="","",E39*F39),"")</f>
        <v/>
      </c>
    </row>
    <row r="40">
      <c r="G40" t="str">
        <f>IFERROR(IF(E40="","",E40*F40),"")</f>
        <v/>
      </c>
    </row>
    <row r="41">
      <c r="G41" t="str">
        <f>IFERROR(IF(E41="","",E41*F41),"")</f>
        <v/>
      </c>
    </row>
    <row r="42">
      <c r="G42" t="str">
        <f>IFERROR(IF(E42="","",E42*F42),"")</f>
        <v/>
      </c>
    </row>
    <row r="43">
      <c r="G43" t="str">
        <f>IFERROR(IF(E43="","",E43*F43),"")</f>
        <v/>
      </c>
    </row>
    <row r="44">
      <c r="G44" t="str">
        <f>IFERROR(IF(E44="","",E44*F44),"")</f>
        <v/>
      </c>
    </row>
    <row r="45">
      <c r="G45" t="str">
        <f>IFERROR(IF(E45="","",E45*F45),"")</f>
        <v/>
      </c>
    </row>
    <row r="46">
      <c r="G46" t="str">
        <f>IFERROR(IF(E46="","",E46*F46),"")</f>
        <v/>
      </c>
    </row>
    <row r="47">
      <c r="G47" t="str">
        <f>IFERROR(IF(E47="","",E47*F47),"")</f>
        <v/>
      </c>
    </row>
    <row r="48">
      <c r="G48" t="str">
        <f>IFERROR(IF(E48="","",E48*F48),"")</f>
        <v/>
      </c>
    </row>
    <row r="49">
      <c r="G49" t="str">
        <f>IFERROR(IF(E49="","",E49*F49),"")</f>
        <v/>
      </c>
    </row>
    <row r="50">
      <c r="G50" t="str">
        <f>IFERROR(IF(E50="","",E50*F50),"")</f>
        <v/>
      </c>
    </row>
    <row r="51">
      <c r="G51" t="str">
        <f>IFERROR(IF(E51="","",E51*F51),"")</f>
        <v/>
      </c>
    </row>
    <row r="52">
      <c r="G52" t="str">
        <f>IFERROR(IF(E52="","",E52*F52),"")</f>
        <v/>
      </c>
    </row>
    <row r="53">
      <c r="G53" t="str">
        <f>IFERROR(IF(E53="","",E53*F53),"")</f>
        <v/>
      </c>
    </row>
    <row r="54">
      <c r="G54" t="str">
        <f>IFERROR(IF(E54="","",E54*F54),"")</f>
        <v/>
      </c>
    </row>
    <row r="55">
      <c r="A55" t="str">
        <v>مجموع المبلغ المطلوب</v>
      </c>
      <c r="G55">
        <f>IFERROR(SUM(G5:G54),0)</f>
        <v>1282000</v>
      </c>
      <c r="H55" t="str">
        <v>مجموع المبلغ المُعتمَد من اللجنة</v>
      </c>
      <c r="K55">
        <f>IFERROR(SUM(K5:K54),0)</f>
        <v>0</v>
      </c>
    </row>
  </sheetData>
  <mergeCells count="6">
    <mergeCell ref="A1:K1"/>
    <mergeCell ref="A2:K2"/>
    <mergeCell ref="A3:H3"/>
    <mergeCell ref="I3:K3"/>
    <mergeCell ref="A55:F55"/>
    <mergeCell ref="H55:J55"/>
  </mergeCells>
  <dataValidations count="3">
    <dataValidation type="list" allowBlank="1" sqref="B17:B54">
      <formula1>"3.01 - Matières premières et consommables,3.02 - Composants électroniques et électriques,3.03 - Fabrication mécanique et prototypage,3.04 - Équipements intégrés au prototype,3.05 - Développement logiciel,3.06 - Intelligence artificielle et Data,3.07 - IoT"</formula1>
      <formula2>0</formula2>
    </dataValidation>
    <dataValidation type="list" allowBlank="1" sqref="I5:I54">
      <formula1>"En attente de validation,Validé par la Commission,Modifié par la Commission,Refusé"</formula1>
      <formula2>0</formula2>
    </dataValidation>
    <dataValidation type="list" allowBlank="1" sqref="B5:B16">
      <formula1>"3.01 - Matières premières et consommables,3.02 - Composants électroniques et électriques,3.03 - Fabrication mécanique et prototypage,3.04 - Équipements intégrés au prototype,3.05 - Développement logiciel,3.06 - Intelligence artificielle et Data,3.07 - IoT"</formula1>
      <formula2>0</formula2>
    </dataValidation>
  </dataValidations>
  <pageMargins left="0.75" right="0.75" top="1" bottom="1" header="0.511811023622047" footer="0.511811023622047"/>
  <ignoredErrors>
    <ignoredError numberStoredAsText="1" sqref="A1:Z1000"/>
  </ignoredErrors>
</worksheet>
</file>

<file path=xl/worksheets/sheet3.xml><?xml version="1.0" encoding="utf-8"?>
<worksheet xmlns="http://schemas.openxmlformats.org/spreadsheetml/2006/main" xmlns:r="http://schemas.openxmlformats.org/officeDocument/2006/relationships">
  <dimension ref="A1:Z1000"/>
  <sheetViews>
    <sheetView workbookViewId="0" rightToLeft="1"/>
  </sheetViews>
  <sheetData>
    <row r="1">
      <c r="B1" t="str">
        <v>ملخص الاحتياجات حسب فئة الشراء</v>
      </c>
    </row>
    <row r="2">
      <c r="B2" t="str">
        <v>برنامج بروتوماركت — الطبعة الثانية</v>
      </c>
    </row>
    <row r="4" xml:space="preserve">
      <c r="B4" t="str">
        <v>فئة الشراء</v>
      </c>
      <c r="C4" t="str" xml:space="preserve">
        <v xml:space="preserve">المبلغ المطلوب_x000d_
من الحامل (دج)</v>
      </c>
      <c r="D4" t="str" xml:space="preserve">
        <v xml:space="preserve">% من الميزانية_x000d_
المطلوبة</v>
      </c>
      <c r="E4" t="str" xml:space="preserve">
        <v xml:space="preserve">المبلغ المُعتمَد_x000d_
من اللجنة (دج)</v>
      </c>
      <c r="F4" t="str" xml:space="preserve">
        <v xml:space="preserve">% من الميزانية_x000d_
المُعتمَدة</v>
      </c>
    </row>
    <row r="5">
      <c r="B5" t="str">
        <v>3.01 - المواد الأولية والمستهلكات</v>
      </c>
      <c r="C5">
        <f>IFERROR(SUMIF('02 - الميزانية التفصيلية'!B$5:B$54,LEFT(B5,4)&amp;"*",'02 - الميزانية التفصيلية'!G$5:G$54),0)</f>
        <v>0</v>
      </c>
      <c r="D5">
        <f>IFERROR(C5/'02 - الميزانية التفصيلية'!G55,0)</f>
        <v>0</v>
      </c>
      <c r="E5">
        <f>IFERROR(SUMIF('02 - الميزانية التفصيلية'!B$5:B$54,LEFT(B5,4)&amp;"*",'02 - الميزانية التفصيلية'!K$5:K$54),0)</f>
        <v>0</v>
      </c>
      <c r="F5">
        <f>IFERROR(E5/'02 - الميزانية التفصيلية'!K55,0)</f>
        <v>0</v>
      </c>
    </row>
    <row r="6">
      <c r="B6" t="str">
        <v>3.02 - المكونات الإلكترونية والكهربائية</v>
      </c>
      <c r="C6">
        <f>IFERROR(SUMIF('02 - الميزانية التفصيلية'!B$5:B$54,LEFT(B6,4)&amp;"*",'02 - الميزانية التفصيلية'!G$5:G$54),0)</f>
        <v>0</v>
      </c>
      <c r="D6">
        <f>IFERROR(C6/'02 - الميزانية التفصيلية'!G55,0)</f>
        <v>0</v>
      </c>
      <c r="E6">
        <f>IFERROR(SUMIF('02 - الميزانية التفصيلية'!B$5:B$54,LEFT(B6,4)&amp;"*",'02 - الميزانية التفصيلية'!K$5:K$54),0)</f>
        <v>0</v>
      </c>
      <c r="F6">
        <f>IFERROR(E6/'02 - الميزانية التفصيلية'!K55,0)</f>
        <v>0</v>
      </c>
    </row>
    <row r="7">
      <c r="B7" t="str">
        <v>3.03 - التصنيع الميكانيكي والنمذجة الأولية</v>
      </c>
      <c r="C7">
        <f>IFERROR(SUMIF('02 - الميزانية التفصيلية'!B$5:B$54,LEFT(B7,4)&amp;"*",'02 - الميزانية التفصيلية'!G$5:G$54),0)</f>
        <v>0</v>
      </c>
      <c r="D7">
        <f>IFERROR(C7/'02 - الميزانية التفصيلية'!G55,0)</f>
        <v>0</v>
      </c>
      <c r="E7">
        <f>IFERROR(SUMIF('02 - الميزانية التفصيلية'!B$5:B$54,LEFT(B7,4)&amp;"*",'02 - الميزانية التفصيلية'!K$5:K$54),0)</f>
        <v>0</v>
      </c>
      <c r="F7">
        <f>IFERROR(E7/'02 - الميزانية التفصيلية'!K55,0)</f>
        <v>0</v>
      </c>
    </row>
    <row r="8">
      <c r="B8" t="str">
        <v>3.04 - المعدات المدمجة في النموذج الأولي</v>
      </c>
      <c r="C8">
        <f>IFERROR(SUMIF('02 - الميزانية التفصيلية'!B$5:B$54,LEFT(B8,4)&amp;"*",'02 - الميزانية التفصيلية'!G$5:G$54),0)</f>
        <v>0</v>
      </c>
      <c r="D8">
        <f>IFERROR(C8/'02 - الميزانية التفصيلية'!G55,0)</f>
        <v>0</v>
      </c>
      <c r="E8">
        <f>IFERROR(SUMIF('02 - الميزانية التفصيلية'!B$5:B$54,LEFT(B8,4)&amp;"*",'02 - الميزانية التفصيلية'!K$5:K$54),0)</f>
        <v>0</v>
      </c>
      <c r="F8">
        <f>IFERROR(E8/'02 - الميزانية التفصيلية'!K55,0)</f>
        <v>0</v>
      </c>
    </row>
    <row r="9">
      <c r="B9" t="str">
        <v>3.05 - تطوير البرمجيات</v>
      </c>
      <c r="C9">
        <f>IFERROR(SUMIF('02 - الميزانية التفصيلية'!B$5:B$54,LEFT(B9,4)&amp;"*",'02 - الميزانية التفصيلية'!G$5:G$54),0)</f>
        <v>327000</v>
      </c>
      <c r="D9">
        <f>IFERROR(C9/'02 - الميزانية التفصيلية'!G55,0)</f>
        <v>0.35325264750378216</v>
      </c>
      <c r="E9">
        <f>IFERROR(SUMIF('02 - الميزانية التفصيلية'!B$5:B$54,LEFT(B9,4)&amp;"*",'02 - الميزانية التفصيلية'!K$5:K$54),0)</f>
        <v>0</v>
      </c>
      <c r="F9">
        <f>IFERROR(E9/'02 - الميزانية التفصيلية'!K55,0)</f>
        <v>0</v>
      </c>
    </row>
    <row r="10">
      <c r="B10" t="str">
        <v>3.06 - الذكاء الاصطناعي والبيانات</v>
      </c>
      <c r="C10">
        <f>IFERROR(SUMIF('02 - الميزانية التفصيلية'!B$5:B$54,LEFT(B10,4)&amp;"*",'02 - الميزانية التفصيلية'!G$5:G$54),0)</f>
        <v>125000</v>
      </c>
      <c r="D10">
        <f>IFERROR(C10/'02 - الميزانية التفصيلية'!G55,0)</f>
        <v>0.094553706505295</v>
      </c>
      <c r="E10">
        <f>IFERROR(SUMIF('02 - الميزانية التفصيلية'!B$5:B$54,LEFT(B10,4)&amp;"*",'02 - الميزانية التفصيلية'!K$5:K$54),0)</f>
        <v>0</v>
      </c>
      <c r="F10">
        <f>IFERROR(E10/'02 - الميزانية التفصيلية'!K55,0)</f>
        <v>0</v>
      </c>
    </row>
    <row r="11">
      <c r="B11" t="str">
        <v>3.07 - إنترنت الأشياء والأنظمة المدمجة</v>
      </c>
      <c r="C11">
        <f>IFERROR(SUMIF('02 - الميزانية التفصيلية'!B$5:B$54,LEFT(B11,4)&amp;"*",'02 - الميزانية التفصيلية'!G$5:G$54),0)</f>
        <v>415000</v>
      </c>
      <c r="D11">
        <f>IFERROR(C11/'02 - الميزانية التفصيلية'!G55,0)</f>
        <v>0.2609682299546142</v>
      </c>
      <c r="E11">
        <f>IFERROR(SUMIF('02 - الميزانية التفصيلية'!B$5:B$54,LEFT(B11,4)&amp;"*",'02 - الميزانية التفصيلية'!K$5:K$54),0)</f>
        <v>0</v>
      </c>
      <c r="F11">
        <f>IFERROR(E11/'02 - الميزانية التفصيلية'!K55,0)</f>
        <v>0</v>
      </c>
    </row>
    <row r="12">
      <c r="B12" t="str">
        <v>3.08 - البرامج والتراخيص التقنية</v>
      </c>
      <c r="C12">
        <f>IFERROR(SUMIF('02 - الميزانية التفصيلية'!B$5:B$54,LEFT(B12,4)&amp;"*",'02 - الميزانية التفصيلية'!G$5:G$54),0)</f>
        <v>0</v>
      </c>
      <c r="D12">
        <f>IFERROR(C12/'02 - الميزانية التفصيلية'!G55,0)</f>
        <v>0</v>
      </c>
      <c r="E12">
        <f>IFERROR(SUMIF('02 - الميزانية التفصيلية'!B$5:B$54,LEFT(B12,4)&amp;"*",'02 - الميزانية التفصيلية'!K$5:K$54),0)</f>
        <v>0</v>
      </c>
      <c r="F12">
        <f>IFERROR(E12/'02 - الميزانية التفصيلية'!K55,0)</f>
        <v>0</v>
      </c>
    </row>
    <row r="13">
      <c r="B13" t="str">
        <v>3.09 - الحوسبة السحابية والخدمات الرقمية</v>
      </c>
      <c r="C13">
        <f>IFERROR(SUMIF('02 - الميزانية التفصيلية'!B$5:B$54,LEFT(B13,4)&amp;"*",'02 - الميزانية التفصيلية'!G$5:G$54),0)</f>
        <v>139000</v>
      </c>
      <c r="D13">
        <f>IFERROR(C13/'02 - الميزانية التفصيلية'!G55,0)</f>
        <v>0.08245083207261725</v>
      </c>
      <c r="E13">
        <f>IFERROR(SUMIF('02 - الميزانية التفصيلية'!B$5:B$54,LEFT(B13,4)&amp;"*",'02 - الميزانية التفصيلية'!K$5:K$54),0)</f>
        <v>0</v>
      </c>
      <c r="F13">
        <f>IFERROR(E13/'02 - الميزانية التفصيلية'!K55,0)</f>
        <v>0</v>
      </c>
    </row>
    <row r="14">
      <c r="B14" t="str">
        <v>3.10 - الاختبارات والتحقق والاعتماد</v>
      </c>
      <c r="C14">
        <f>IFERROR(SUMIF('02 - الميزانية التفصيلية'!B$5:B$54,LEFT(B14,4)&amp;"*",'02 - الميزانية التفصيلية'!G$5:G$54),0)</f>
        <v>213000</v>
      </c>
      <c r="D14">
        <f>IFERROR(C14/'02 - الميزانية التفصيلية'!G55,0)</f>
        <v>0.16111951588502268</v>
      </c>
      <c r="E14">
        <f>IFERROR(SUMIF('02 - الميزانية التفصيلية'!B$5:B$54,LEFT(B14,4)&amp;"*",'02 - الميزانية التفصيلية'!K$5:K$54),0)</f>
        <v>0</v>
      </c>
      <c r="F14">
        <f>IFERROR(E14/'02 - الميزانية التفصيلية'!K55,0)</f>
        <v>0</v>
      </c>
    </row>
    <row r="15">
      <c r="B15" t="str">
        <v>3.11 - المناولة المتخصصة</v>
      </c>
      <c r="C15">
        <f>IFERROR(SUMIF('02 - الميزانية التفصيلية'!B$5:B$54,LEFT(B15,4)&amp;"*",'02 - الميزانية التفصيلية'!G$5:G$54),0)</f>
        <v>0</v>
      </c>
      <c r="D15">
        <f>IFERROR(C15/'02 - الميزانية التفصيلية'!G55,0)</f>
        <v>0</v>
      </c>
      <c r="E15">
        <f>IFERROR(SUMIF('02 - الميزانية التفصيلية'!B$5:B$54,LEFT(B15,4)&amp;"*",'02 - الميزانية التفصيلية'!K$5:K$54),0)</f>
        <v>0</v>
      </c>
      <c r="F15">
        <f>IFERROR(E15/'02 - الميزانية التفصيلية'!K55,0)</f>
        <v>0</v>
      </c>
    </row>
    <row r="16">
      <c r="B16" t="str">
        <v>3.12 - الملكية الفكرية</v>
      </c>
      <c r="C16">
        <f>IFERROR(SUMIF('02 - الميزانية التفصيلية'!B$5:B$54,LEFT(B16,4)&amp;"*",'02 - الميزانية التفصيلية'!G$5:G$54),0)</f>
        <v>63000</v>
      </c>
      <c r="D16">
        <f>IFERROR(C16/'02 - الميزانية التفصيلية'!G55,0)</f>
        <v>0.047655068078668684</v>
      </c>
      <c r="E16">
        <f>IFERROR(SUMIF('02 - الميزانية التفصيلية'!B$5:B$54,LEFT(B16,4)&amp;"*",'02 - الميزانية التفصيلية'!K$5:K$54),0)</f>
        <v>0</v>
      </c>
      <c r="F16">
        <f>IFERROR(E16/'02 - الميزانية التفصيلية'!K55,0)</f>
        <v>0</v>
      </c>
    </row>
    <row r="17">
      <c r="B17" t="str">
        <v>3.13 - هندسة العمليات والهيدروليك والمعدات الصناعية</v>
      </c>
      <c r="C17">
        <f>IFERROR(SUMIF('02 - الميزانية التفصيلية'!B$5:B$54,LEFT(B17,4)&amp;"*",'02 - الميزانية التفصيلية'!G$5:G$54),0)</f>
        <v>0</v>
      </c>
      <c r="D17">
        <f>IFERROR(C17/'02 - الميزانية التفصيلية'!G55,0)</f>
        <v>0</v>
      </c>
      <c r="E17">
        <f>IFERROR(SUMIF('02 - الميزانية التفصيلية'!B$5:B$54,LEFT(B17,4)&amp;"*",'02 - الميزانية التفصيلية'!K$5:K$54),0)</f>
        <v>0</v>
      </c>
      <c r="F17">
        <f>IFERROR(E17/'02 - الميزانية التفصيلية'!K55,0)</f>
        <v>0</v>
      </c>
    </row>
    <row r="18">
      <c r="B18" t="str">
        <v>3.14 - التكنولوجيا الحيوية وعلوم الحياة</v>
      </c>
      <c r="C18">
        <f>IFERROR(SUMIF('02 - الميزانية التفصيلية'!B$5:B$54,LEFT(B18,4)&amp;"*",'02 - الميزانية التفصيلية'!G$5:G$54),0)</f>
        <v>0</v>
      </c>
      <c r="D18">
        <f>IFERROR(C18/'02 - الميزانية التفصيلية'!G55,0)</f>
        <v>0</v>
      </c>
      <c r="E18">
        <f>IFERROR(SUMIF('02 - الميزانية التفصيلية'!B$5:B$54,LEFT(B18,4)&amp;"*",'02 - الميزانية التفصيلية'!K$5:K$54),0)</f>
        <v>0</v>
      </c>
      <c r="F18">
        <f>IFERROR(E18/'02 - الميزانية التفصيلية'!K55,0)</f>
        <v>0</v>
      </c>
    </row>
    <row r="19">
      <c r="B19" t="str">
        <v>3.15 - الصيدلة والأجهزة الطبية وعلوم الصحة</v>
      </c>
      <c r="C19">
        <f>IFERROR(SUMIF('02 - الميزانية التفصيلية'!B$5:B$54,LEFT(B19,4)&amp;"*",'02 - الميزانية التفصيلية'!G$5:G$54),0)</f>
        <v>0</v>
      </c>
      <c r="D19">
        <f>IFERROR(C19/'02 - الميزانية التفصيلية'!G55,0)</f>
        <v>0</v>
      </c>
      <c r="E19">
        <f>IFERROR(SUMIF('02 - الميزانية التفصيلية'!B$5:B$54,LEFT(B19,4)&amp;"*",'02 - الميزانية التفصيلية'!K$5:K$54),0)</f>
        <v>0</v>
      </c>
      <c r="F19">
        <f>IFERROR(E19/'02 - الميزانية التفصيلية'!K55,0)</f>
        <v>0</v>
      </c>
    </row>
    <row r="20">
      <c r="B20" t="str">
        <v>3.16 - الصناعات الغذائية والتغذية والصناعات الزراعية</v>
      </c>
      <c r="C20">
        <f>IFERROR(SUMIF('02 - الميزانية التفصيلية'!B$5:B$54,LEFT(B20,4)&amp;"*",'02 - الميزانية التفصيلية'!G$5:G$54),0)</f>
        <v>0</v>
      </c>
      <c r="D20">
        <f>IFERROR(C20/'02 - الميزانية التفصيلية'!G55,0)</f>
        <v>0</v>
      </c>
      <c r="E20">
        <f>IFERROR(SUMIF('02 - الميزانية التفصيلية'!B$5:B$54,LEFT(B20,4)&amp;"*",'02 - الميزانية التفصيلية'!K$5:K$54),0)</f>
        <v>0</v>
      </c>
      <c r="F20">
        <f>IFERROR(E20/'02 - الميزانية التفصيلية'!K55,0)</f>
        <v>0</v>
      </c>
    </row>
    <row r="21">
      <c r="B21" t="str">
        <v>المجموع العام</v>
      </c>
      <c r="C21">
        <f>'02 - الميزانية التفصيلية'!G55</f>
        <v>1282000</v>
      </c>
      <c r="D21" t="str">
        <v>100%</v>
      </c>
      <c r="E21">
        <f>'02 - الميزانية التفصيلية'!K55</f>
        <v>0</v>
      </c>
      <c r="F21" t="str">
        <v>100%</v>
      </c>
    </row>
    <row r="23">
      <c r="B23" t="str">
        <v>مقارنة — الميزانية المطلوبة مقابل الميزانية الممنوحة</v>
      </c>
    </row>
    <row r="24">
      <c r="B24" t="str">
        <v>المبلغ الممنوح من اللجنة الوطنية (دج)</v>
      </c>
      <c r="E24">
        <f>'01 - معلومات المشروع'!C29</f>
        <v>1500000</v>
      </c>
    </row>
    <row r="25">
      <c r="B25" t="str">
        <v>إجمالي المبلغ المطلوب في هذا الملف (دج)</v>
      </c>
      <c r="E25">
        <f>'02 - الميزانية التفصيلية'!G55</f>
        <v>1322000</v>
      </c>
    </row>
    <row r="26">
      <c r="B26" t="str">
        <v>الفارق (الممنوح — المطلوب) (دج)</v>
      </c>
      <c r="E26">
        <f>'01 - معلومات المشروع'!C29-'02 - الميزانية التفصيلية'!G55</f>
        <v>178000</v>
      </c>
    </row>
    <row r="27">
      <c r="B27" t="str">
        <v>نسبة استخدام الميزانية الممنوحة (%)</v>
      </c>
      <c r="E27">
        <f>IFERROR('02 - الميزانية التفصيلية'!G55/'01 - معلومات المشروع'!C29,0)</f>
        <v>0.8813333333333333</v>
      </c>
    </row>
  </sheetData>
  <mergeCells count="11">
    <mergeCell ref="B25:D25"/>
    <mergeCell ref="E25:F25"/>
    <mergeCell ref="B26:D26"/>
    <mergeCell ref="E26:F26"/>
    <mergeCell ref="B27:D27"/>
    <mergeCell ref="E27:F27"/>
    <mergeCell ref="B1:F1"/>
    <mergeCell ref="B2:F2"/>
    <mergeCell ref="B23:F23"/>
    <mergeCell ref="B24:D24"/>
    <mergeCell ref="E24:F24"/>
  </mergeCells>
  <pageMargins left="0.75" right="0.75" top="1" bottom="1" header="0.511811023622047" footer="0.511811023622047"/>
  <ignoredErrors>
    <ignoredError numberStoredAsText="1" sqref="A1:Z1000"/>
  </ignoredErrors>
</worksheet>
</file>

<file path=xl/worksheets/sheet4.xml><?xml version="1.0" encoding="utf-8"?>
<worksheet xmlns="http://schemas.openxmlformats.org/spreadsheetml/2006/main" xmlns:r="http://schemas.openxmlformats.org/officeDocument/2006/relationships">
  <dimension ref="A1:Z1000"/>
  <sheetViews>
    <sheetView workbookViewId="0" rightToLeft="1"/>
  </sheetViews>
  <sheetData>
    <row r="1">
      <c r="B1" t="str">
        <v>مساعدة في صياغة دفتر الشروط التقنية</v>
      </c>
    </row>
    <row r="2">
      <c r="B2" t="str">
        <v>يساعدك هذا الجدول على إعداد المواصفات التقنية التي تُرسَل إلى الجامعة لإطلاق طلبات العروض.</v>
      </c>
    </row>
    <row r="4">
      <c r="B4" t="str">
        <v>بند دفتر الشروط</v>
      </c>
      <c r="C4" t="str">
        <v>الوصف الذي يملأه حامل المشروع</v>
      </c>
      <c r="D4" t="str">
        <v>مثال / إرشاد</v>
      </c>
    </row>
    <row r="5">
      <c r="B5" t="str">
        <v>عنوان الشراء</v>
      </c>
      <c r="C5" t="str">
        <v>Dongle OBD-II 4G GPS — Teltonika FMB920 (ou équivalent certifié CE/RoHS)</v>
      </c>
      <c r="D5" t="str">
        <v>مثال: وحدة تحكم مدمجة STM32F4Discovery</v>
      </c>
    </row>
    <row r="6">
      <c r="B6" t="str">
        <v>فئة الشراء</v>
      </c>
      <c r="C6" t="str">
        <v>3.07 - Systèmes IoT et embarqués</v>
      </c>
      <c r="D6" t="str">
        <v>مثال: 3.02 - مكونات إلكترونية</v>
      </c>
    </row>
    <row r="7">
      <c r="B7" t="str">
        <v>الكمية المطلوبة</v>
      </c>
      <c r="C7" t="str">
        <v>5 unités</v>
      </c>
      <c r="D7" t="str">
        <v>مثال: 3 وحدات</v>
      </c>
    </row>
    <row r="8">
      <c r="B8" t="str">
        <v>الحد الأدنى من المواصفات التقنية</v>
      </c>
      <c r="C8" t="str">
        <v>Interface OBD-II conforme SAE J1979, connectivité 4G LTE Cat-1 + GPS GNSS, protocoles CAN / K-Line / J1850 / ISO 15765-4, RAM ≥ 16 MB, Flash ≥ 16 MB, température : -40°C à +85°C, IP54, tension alimentation : 10–30 V DC via OBD</v>
      </c>
      <c r="D8" t="str">
        <v>مثال: تردد ≥ 168MHz، ذاكرة RAM ≥ 192KB، واجهات: SPI, I2C, UART, GPIO ≥ 80 pins</v>
      </c>
    </row>
    <row r="9">
      <c r="B9" t="str">
        <v>الأداء المتوقع</v>
      </c>
      <c r="C9" t="str">
        <v>Transmission des trames OBD toutes les 10 secondes, précision GPS ≤ 2,5 m CEP, latence de connexion 4G &lt; 3 secondes</v>
      </c>
      <c r="D9" t="str">
        <v>مثال: معالجة في الوقت الفعلي، زمن الاستجابة &lt; 10ms</v>
      </c>
    </row>
    <row r="10">
      <c r="B10" t="str">
        <v>المعايير والشهادات المطلوبة</v>
      </c>
      <c r="C10" t="str">
        <v>CE, RoHS, E-Mark (homologation véhicule), ISO/IEC 27001 du fabricant souhaité</v>
      </c>
      <c r="D10" t="str">
        <v>مثال: CE, RoHS, ISO 9001 للمصنِّع</v>
      </c>
    </row>
    <row r="11">
      <c r="B11" t="str">
        <v>العلامات التجارية أو الطرازات المقبولة</v>
      </c>
      <c r="C11" t="str">
        <v>Teltonika FMB920 (Teltonika Networks), Queclink GV55 (Queclink Wireless), ou tout équipement avec spécifications équivalentes ou supérieures</v>
      </c>
      <c r="D11" t="str">
        <v>مثال: STM32F4 (STMicroelectronics)، ESP32 (Espressif)، أو ما يعادلها</v>
      </c>
    </row>
    <row r="12">
      <c r="B12" t="str">
        <v>شروط التسليم</v>
      </c>
      <c r="C12" t="str">
        <v>Livraison dans les 30 jours, emballage antistatique ESD obligatoire, documentation technique (datasheet, firmware guide) fournie</v>
      </c>
      <c r="D12" t="str">
        <v>مثال: تسليم خلال 30 يوماً، تغليف مضاد للكهرباء الساكنة إلزامي</v>
      </c>
    </row>
    <row r="13">
      <c r="B13" t="str">
        <v>الوثائق المطلوبة</v>
      </c>
      <c r="C13" t="str">
        <v>Fiche technique (datasheet) officielle du fabricant, guide de configuration firmware, certificats CE et RoHS</v>
      </c>
      <c r="D13" t="str">
        <v>مثال: ورقة البيانات، المخطط المرجعي، دليل البرمجة</v>
      </c>
    </row>
    <row r="14">
      <c r="B14" t="str">
        <v>معايير تقييم العروض</v>
      </c>
      <c r="C14" t="str">
        <v>60% Prix, 30% Conformité technique aux specs, 10% Délai de livraison</v>
      </c>
      <c r="D14" t="str">
        <v>مثال: 60% السعر، 30% المطابقة التقنية، 10% أجل التسليم</v>
      </c>
    </row>
    <row r="15">
      <c r="B15" t="str">
        <v>تبرير الفائدة في النموذج الأولي</v>
      </c>
      <c r="C15" t="str">
        <v>Acquisition des signaux OBD en temps réel pour alimenter le Capital Allocation Engine (CAE) de NextTransit avec les codes DTC, RPM, température moteur, pression huile des 5 véhicules pilotes.</v>
      </c>
      <c r="D15" t="str">
        <v>مثال: وحدة المعالجة المركزية للنظام المدمج للتحكم في الروبوت</v>
      </c>
    </row>
    <row r="16">
      <c r="B16" t="str">
        <v>المخاطر في حالة عدم المطابقة</v>
      </c>
      <c r="C16" t="str">
        <v>Non-conformité aux protocoles OBD-II SAE J1979 : impossibilité de lire les codes DTC → arrêt complet du module de détection. Température hors plage : défaillance en environnement de transport algérien.</v>
      </c>
      <c r="D16" t="str">
        <v>مثال: عدم توافق مع درع المحرك، يستلزم تطويراً جديداً</v>
      </c>
    </row>
    <row r="18">
      <c r="B18" t="str">
        <v>📋  يُرسَل دفتر الشروط هذا إلى الجامعة التي تُطلق إجراء طلب العروض أو الاستشارة وفقاً لقانون الصفقات العمومية الجزائري. يشارك حامل المشروع في الاستلام التقني ويوقع محضر الاستلام.</v>
      </c>
    </row>
  </sheetData>
  <mergeCells count="3">
    <mergeCell ref="B1:D1"/>
    <mergeCell ref="B2:D2"/>
    <mergeCell ref="B18:D19"/>
  </mergeCells>
  <pageMargins left="0.75" right="0.75" top="1" bottom="1" header="0.511811023622047" footer="0.511811023622047"/>
  <ignoredErrors>
    <ignoredError numberStoredAsText="1" sqref="A1:Z1000"/>
  </ignoredErrors>
</worksheet>
</file>

<file path=xl/worksheets/sheet5.xml><?xml version="1.0" encoding="utf-8"?>
<worksheet xmlns="http://schemas.openxmlformats.org/spreadsheetml/2006/main" xmlns:r="http://schemas.openxmlformats.org/officeDocument/2006/relationships">
  <dimension ref="A1:Z1000"/>
  <sheetViews>
    <sheetView workbookViewId="0" rightToLeft="1"/>
  </sheetViews>
  <sheetData>
    <row r="1">
      <c r="B1" t="str">
        <v>الدليل السريع — القواعد الأساسية لبروتوماركت II</v>
      </c>
    </row>
    <row r="3">
      <c r="B3" t="str">
        <v>✅  النفقات المسموح بها</v>
      </c>
    </row>
    <row r="4">
      <c r="B4" t="str">
        <v>المواد الأولية والمستهلكات</v>
      </c>
      <c r="C4" t="str">
        <v>المعادن، البلاستيك، المواد المركبة، مستهلكات الطباعة ثلاثية الأبعاد، الأسلاك...</v>
      </c>
    </row>
    <row r="5">
      <c r="B5" t="str">
        <v>المكونات الإلكترونية</v>
      </c>
      <c r="C5" t="str">
        <v>لوحات PCB، وحدات تحكم مدمجة، حساسات، محركات، بطاريات، وحدات IoT...</v>
      </c>
    </row>
    <row r="6">
      <c r="B6" t="str">
        <v>التصنيع الميكانيكي</v>
      </c>
      <c r="C6" t="str">
        <v>التشغيل الآلي CNC، القطع بالليزر، الطباعة ثلاثية الأبعاد، الخراطة، الصب، اللحام...</v>
      </c>
    </row>
    <row r="7">
      <c r="B7" t="str">
        <v>المعدات المدمجة في النموذج الأولي</v>
      </c>
      <c r="C7" t="str">
        <v>المحركات، الرافعات، المضخات، المشغّلات، الهياكل، ناقلات الحركة...</v>
      </c>
    </row>
    <row r="8">
      <c r="B8" t="str">
        <v>تطوير البرمجيات</v>
      </c>
      <c r="C8" t="str">
        <v>منصة ويب، تطبيق جوال، برنامج ثابت، API، برنامج مدمج...</v>
      </c>
    </row>
    <row r="9">
      <c r="B9" t="str">
        <v>الذكاء الاصطناعي</v>
      </c>
      <c r="C9" t="str">
        <v>نماذج الذكاء الاصطناعي، تعليق البيانات، الرؤية الحاسوبية، معالجة اللغة الطبيعية...</v>
      </c>
    </row>
    <row r="10">
      <c r="B10" t="str">
        <v>إنترنت الأشياء والأنظمة المدمجة</v>
      </c>
      <c r="C10" t="str">
        <v>LoRa، GSM، GPS، ESP32، بوابات إنترنت الأشياء، حساسات ذكية...</v>
      </c>
    </row>
    <row r="11">
      <c r="B11" t="str">
        <v>البرامج والتراخيص</v>
      </c>
      <c r="C11" t="str">
        <v>SolidWorks، Matlab، AutoCAD، Altium، تراخيص متخصصة...</v>
      </c>
    </row>
    <row r="12">
      <c r="B12" t="str">
        <v>الحوسبة السحابية والخدمات الرقمية</v>
      </c>
      <c r="C12" t="str">
        <v>استضافة، خوادم، قواعد بيانات، اسم النطاق، SMS Gateway...</v>
      </c>
    </row>
    <row r="13">
      <c r="B13" t="str">
        <v>الاختبارات والتحقق</v>
      </c>
      <c r="C13" t="str">
        <v>اختبارات مخبرية، اعتماد، مطابقة، معايرة...</v>
      </c>
    </row>
    <row r="14">
      <c r="B14" t="str">
        <v>المناولة المتخصصة</v>
      </c>
      <c r="C14" t="str">
        <v>مكتب دراسات، ورشة، تصنيع صناعي، تصميم PCB...</v>
      </c>
    </row>
    <row r="15">
      <c r="B15" t="str">
        <v>الملكية الفكرية</v>
      </c>
      <c r="C15" t="str">
        <v>إيداع براءة اختراع INAPI، رسم صناعي، حماية برمجية...</v>
      </c>
    </row>
    <row r="16">
      <c r="B16" t="str">
        <v>هندسة العمليات</v>
      </c>
      <c r="C16" t="str">
        <v>أغشية، صمامات، مفاعلات، حساسات كيميائية، معدات معالجة...</v>
      </c>
    </row>
    <row r="17">
      <c r="B17" t="str">
        <v>التكنولوجيا الحيوية</v>
      </c>
      <c r="C17" t="str">
        <v>كواشف بيولوجية، مجموعات PCR، أوساط زرع، معدات مخبرية...</v>
      </c>
    </row>
    <row r="18">
      <c r="B18" t="str">
        <v>الصيدلة / الصحة</v>
      </c>
      <c r="C18" t="str">
        <v>مواد أولية صيدلانية، أجهزة طبية، سواغات...</v>
      </c>
    </row>
    <row r="19">
      <c r="B19" t="str">
        <v>الصناعات الغذائية</v>
      </c>
      <c r="C19" t="str">
        <v>مكونات غذائية، معدات تحويل، كواشف تحليل...</v>
      </c>
    </row>
    <row r="21">
      <c r="B21" t="str">
        <v>❌  النفقات المحظورة</v>
      </c>
    </row>
    <row r="22">
      <c r="B22" t="str">
        <v>الأجور والمكافآت</v>
      </c>
      <c r="C22" t="str">
        <v>لا يُسمح بأي أجر لأعضاء الفريق، ولا بالمناوبات أو العلاوات أو الأتعاب</v>
      </c>
    </row>
    <row r="23">
      <c r="B23" t="str">
        <v>مصاريف التنقل</v>
      </c>
      <c r="C23" t="str">
        <v>تذاكر الطائرة/القطار، الوقود، استئجار السيارة، المطعم، الإقامة</v>
      </c>
    </row>
    <row r="24">
      <c r="B24" t="str">
        <v>الأثاث والتهيئة</v>
      </c>
      <c r="C24" t="str">
        <v>مكاتب، كراسي، خزائن، طاولات، حواجز، ديكور، معدات مطبخ</v>
      </c>
    </row>
    <row r="25">
      <c r="B25" t="str">
        <v>الإعلام الآلي الشخصي</v>
      </c>
      <c r="C25" t="str">
        <v>حاسوب محمول/مكتبي، هاتف، حاسوب لوحي، طابعة (إلا إذا كانت مدمجة في النموذج الأولي)</v>
      </c>
    </row>
    <row r="26">
      <c r="B26" t="str">
        <v>التسويق والإشهار</v>
      </c>
      <c r="C26" t="str">
        <v>إعلانات، نشرات، هدايا دعائية، معارض، شبكات التواصل الاجتماعي، رعاية</v>
      </c>
    </row>
    <row r="27">
      <c r="B27" t="str">
        <v>مصاريف التشغيل</v>
      </c>
      <c r="C27" t="str">
        <v>إيجارات، كهرباء، ماء، إنترنت، اشتراكات، لوازم مكتبية</v>
      </c>
    </row>
    <row r="28">
      <c r="B28" t="str">
        <v>المركبات</v>
      </c>
      <c r="C28" t="str">
        <v>سيارة، دراجة نارية، شاحنة، مقطورة (إلا إذا كانت المركبة هي النموذج الأولي بحد ذاتها)</v>
      </c>
    </row>
    <row r="29">
      <c r="B29" t="str">
        <v>الطائرات المسيّرة الجاهزة للاستخدام</v>
      </c>
      <c r="C29" t="str">
        <v>شراء طائرة مسيّرة تجارية جاهزة للاستخدام — يُسمح فقط بمكونات تصنيع الطائرة المسيّرة</v>
      </c>
    </row>
    <row r="30">
      <c r="B30" t="str">
        <v>العقارات</v>
      </c>
      <c r="C30" t="str">
        <v>شراء/استئجار أرض، بناء، تجديد المحلات</v>
      </c>
    </row>
    <row r="32">
      <c r="B32" t="str">
        <v>⚠️  القواعد المهمة</v>
      </c>
    </row>
    <row r="33">
      <c r="B33" t="str">
        <v>الدائرة المالية</v>
      </c>
      <c r="C33" t="str">
        <v>يُحوَّل التمويل إلى الجامعة وليس إلى الحامل. لا تُسلَّم أي مبالغ نقدية.</v>
      </c>
    </row>
    <row r="34">
      <c r="B34" t="str">
        <v>المشتريات العمومية</v>
      </c>
      <c r="C34" t="str">
        <v>تُنجز جميع المشتريات من قِبَل الجامعة عبر طلبات العروض وفق قانون الصفقات العمومية.</v>
      </c>
    </row>
    <row r="35">
      <c r="B35" t="str">
        <v>دور الحامل</v>
      </c>
      <c r="C35" t="str">
        <v>يُعِدّ الحامل دفاتر الشروط ويُصادق على المواصفات ويوقع محاضر الاستلام.</v>
      </c>
    </row>
    <row r="36">
      <c r="B36" t="str">
        <v>ملكية المعدات</v>
      </c>
      <c r="C36" t="str">
        <v>المعدات المقتناة هي مِلك الجامعة، غير أن الحامل يتمتع باستخدامها مجاناً.</v>
      </c>
    </row>
    <row r="37">
      <c r="B37" t="str">
        <v>3 مستويات للتمويل</v>
      </c>
      <c r="C37" t="str">
        <v>1.000.000 دج / 1.500.000 دج / 2.000.000 دج حسب تعقيد المشروع.</v>
      </c>
    </row>
    <row r="38">
      <c r="B38" t="str">
        <v>الميزانية ≤ المبلغ الممنوح</v>
      </c>
      <c r="C38" t="str">
        <v>لا يجوز أبداً أن يتجاوز مجموع الميزانية المطلوبة المبلغ الممنوح من اللجنة.</v>
      </c>
    </row>
    <row r="39">
      <c r="B39" t="str">
        <v>التبرير إلزامي</v>
      </c>
      <c r="C39" t="str">
        <v>يجب أن تُبرَّر كل سطر من الميزانية تقنياً بفائدتها في النموذج الأولي.</v>
      </c>
    </row>
    <row r="40">
      <c r="B40" t="str">
        <v>التسمية الدقيقة</v>
      </c>
      <c r="C40" t="str">
        <v>يُذكر الاسم الدقيق للمادة (العلامة التجارية، الطراز، المرجع) — لا تسميات مبهمة.</v>
      </c>
    </row>
    <row r="42">
      <c r="B42" t="str">
        <v>مستويات التمويل</v>
      </c>
    </row>
    <row r="43">
      <c r="B43" t="str">
        <v>المستوى 1 — 1.000.000 دج</v>
      </c>
      <c r="C43" t="str">
        <v>مشاريع رقمية بسيطة: منصات ويب، تطبيقات جوال عادية</v>
      </c>
    </row>
    <row r="44">
      <c r="B44" t="str">
        <v>المستوى 2 — 1.500.000 دج</v>
      </c>
      <c r="C44" t="str">
        <v>مشاريع رقمية متقدمة، ذكاء اصطناعي، إنترنت الأشياء، صناعات غذائية، تكنولوجيا حيوية</v>
      </c>
    </row>
    <row r="45">
      <c r="B45" t="str">
        <v>المستوى 3 — 2.000.000 دج</v>
      </c>
      <c r="C45" t="str">
        <v>مشاريع مادية معقدة، روبوتيك، هندسة العمليات، أجهزة طبية</v>
      </c>
    </row>
    <row r="47">
      <c r="B47" t="str">
        <v>قائمة المجالات</v>
      </c>
    </row>
    <row r="48">
      <c r="B48">
        <v>1</v>
      </c>
      <c r="C48" t="str">
        <v>تكنولوجيات الرقمنة والاقتصاد الرقمي</v>
      </c>
    </row>
    <row r="49">
      <c r="B49" t="str">
        <v>01.  منصات الويب والتطبيقات الجوالة</v>
      </c>
      <c r="C49" t="str">
        <v>02.  التجارة الإلكترونية والأسواق الرقمية</v>
      </c>
    </row>
    <row r="50">
      <c r="B50" t="str">
        <v>03.  التكنولوجيا المالية والدفع الإلكتروني</v>
      </c>
      <c r="C50" t="str">
        <v>04.  تكنولوجيا التعليم والتعلم الإلكتروني</v>
      </c>
    </row>
    <row r="51">
      <c r="B51" t="str">
        <v>05.  التكنولوجيا القانونية وتكنولوجيا الحوكمة</v>
      </c>
      <c r="C51" t="str">
        <v>06.  الصحة الرقمية</v>
      </c>
    </row>
    <row r="52">
      <c r="B52" t="str">
        <v>07.  التكنولوجيا العقارية (العقار الرقمي)</v>
      </c>
      <c r="C52" t="str">
        <v>08.  الأمن السيبراني وحماية البيانات</v>
      </c>
    </row>
    <row r="53">
      <c r="B53" t="str">
        <v>09.  البلوك تشين و Web3 والهوية الرقمية</v>
      </c>
      <c r="C53" t="str">
        <v>10.  SaaS والحلول القطاعية للأعمال</v>
      </c>
    </row>
    <row r="54">
      <c r="B54" t="str">
        <v>11.  الحوسبة السحابية والبنية التحتية الرقمية والاستضافة (IaaS, PaaS, serverless, edge computing)</v>
      </c>
      <c r="C54" t="str">
        <v>12.  المنصات التعاونية وأدوات الإنتاجية الرقمية</v>
      </c>
    </row>
    <row r="55">
      <c r="B55">
        <v>2</v>
      </c>
      <c r="C55" t="str">
        <v>الذكاء الاصطناعي وعلم البيانات</v>
      </c>
    </row>
    <row r="56">
      <c r="B56" t="str">
        <v>01.  الرؤية الحاسوبية والتعرف على الصور</v>
      </c>
      <c r="C56" t="str">
        <v>02.  معالجة اللغة الطبيعية تلقائياً (NLP)</v>
      </c>
    </row>
    <row r="57">
      <c r="B57" t="str">
        <v>03.  الذكاء الاصطناعي التوليدي (نص، صورة، صوت، فيديو)</v>
      </c>
      <c r="C57" t="str">
        <v>04.  تعلم الآلة والتعلم العميق التطبيقي</v>
      </c>
    </row>
    <row r="58">
      <c r="B58" t="str">
        <v>05.  البيانات الضخمة والتحليلات ولوحات المتابعة الذكية</v>
      </c>
      <c r="C58" t="str">
        <v>06.  أنظمة التوصية والتخصيص</v>
      </c>
    </row>
    <row r="59">
      <c r="B59" t="str">
        <v>07.  الذكاء الاصطناعي للصناعة (الصيانة التنبؤية، مراقبة الجودة)</v>
      </c>
      <c r="C59" t="str">
        <v>08.  الذكاء الاصطناعي للصحة (التشخيص بمساعدة الحاسوب)</v>
      </c>
    </row>
    <row r="60">
      <c r="B60" t="str">
        <v>09.  الذكاء الاصطناعي للزراعة (الزراعة الدقيقة)</v>
      </c>
      <c r="C60" t="str">
        <v>10.  الذكاء الاصطناعي للمال (كشف الاحتيال، التنقيط)</v>
      </c>
    </row>
    <row r="61">
      <c r="B61">
        <v>3</v>
      </c>
      <c r="C61" t="str">
        <v>إنترنت الأشياء والأنظمة المدمجة</v>
      </c>
    </row>
    <row r="62">
      <c r="B62" t="str">
        <v>01.  المنزل الذكي والمباني الذكية</v>
      </c>
      <c r="C62" t="str">
        <v>02.  المدينة الذكية والبنية التحتية الحضرية المتصلة</v>
      </c>
    </row>
    <row r="63">
      <c r="B63" t="str">
        <v>03.  شبكات الحساسات الذكية (LoRa, NB-IoT, Zigbee)</v>
      </c>
      <c r="C63" t="str">
        <v>04.  الأنظمة المدمجة في الوقت الفعلي</v>
      </c>
    </row>
    <row r="64">
      <c r="B64" t="str">
        <v>05.  الأشياء الصناعية المتصلة (IIoT)</v>
      </c>
      <c r="C64" t="str">
        <v>06.  الأجهزة القابلة للارتداء وأجهزة الصحة المتصلة</v>
      </c>
    </row>
    <row r="65">
      <c r="B65" t="str">
        <v>07.  أنظمة التحديد الجغرافي والتتبع</v>
      </c>
      <c r="C65" t="str">
        <v>08.  العدادات الذكية وإدارة الطاقة</v>
      </c>
    </row>
    <row r="66">
      <c r="B66" t="str">
        <v>09.  الزراعة المتصلة والبيوت البلاستيكية الذكية (IoT)</v>
      </c>
      <c r="C66" t="str">
        <v>10.  أنظمة المراقبة والأمن المتصلة</v>
      </c>
    </row>
    <row r="67">
      <c r="B67">
        <v>4</v>
      </c>
      <c r="C67" t="str">
        <v>الروبوتيك والميكاترونيك</v>
      </c>
    </row>
    <row r="68">
      <c r="B68" t="str">
        <v>01.  الروبوتات الصناعية وأذرع التلاعب</v>
      </c>
      <c r="C68" t="str">
        <v>02.  الروبوتات المتنقلة ذاتية التوجيه (AGV, AMR)</v>
      </c>
    </row>
    <row r="69">
      <c r="B69" t="str">
        <v>03.  الطائرات المسيّرة (تصميم وتصنيع المكونات)</v>
      </c>
      <c r="C69" t="str">
        <v>04.  روبوتات المساعدة والخدمة والمرافقة</v>
      </c>
    </row>
    <row r="70">
      <c r="B70" t="str">
        <v>05.  الهياكل الخارجية وأنظمة مساعدة الحركة</v>
      </c>
      <c r="C70" t="str">
        <v>06.  الروبوتات الزراعية وأنظمة الحصاد الآلي</v>
      </c>
    </row>
    <row r="71">
      <c r="B71" t="str">
        <v>07.  أنظمة الرؤية الصناعية والفحص الآلي</v>
      </c>
      <c r="C71" t="str">
        <v>08.  الروبوتات المائية وأنظمة التشغيل عن بُعد</v>
      </c>
    </row>
    <row r="72">
      <c r="B72" t="str">
        <v>09.  الروبوتات الصغيرة والمجهرية (الجراحة، الاستكشاف)</v>
      </c>
      <c r="C72" t="str">
        <v>10.  أنظمة التعاون الإنساني-الآلي (cobotique)</v>
      </c>
    </row>
    <row r="73">
      <c r="B73">
        <v>5</v>
      </c>
      <c r="C73" t="str">
        <v>الهندسة الكهربائية والإلكترونية</v>
      </c>
    </row>
    <row r="74">
      <c r="B74" t="str">
        <v>01.  أنظمة الطاقة المتجددة (شمسية، ريحية)</v>
      </c>
      <c r="C74" t="str">
        <v>02.  أنظمة تخزين الطاقة (بطاريات، مكثفات فائقة)</v>
      </c>
    </row>
    <row r="75">
      <c r="B75" t="str">
        <v>03.  إلكترونيات القدرة والمحولات</v>
      </c>
      <c r="C75" t="str">
        <v>04.  أنظمة شحن المركبات الكهربائية</v>
      </c>
    </row>
    <row r="76">
      <c r="B76" t="str">
        <v>05.  الميكروإلكترونيات وتصميم الدوائر المتكاملة</v>
      </c>
      <c r="C76" t="str">
        <v>06.  أنظمة القياس والقياس الآلي والاختبار</v>
      </c>
    </row>
    <row r="77">
      <c r="B77" t="str">
        <v>07.  الإلكترونيات الطبية والبيوإلكترونيات</v>
      </c>
      <c r="C77" t="str">
        <v>08.  أنظمة الإمداد بالطاقة اللامنقطعة (UPS)</v>
      </c>
    </row>
    <row r="78">
      <c r="B78" t="str">
        <v>09.  الشبكات الكهربائية الذكية (Smart Grid)</v>
      </c>
      <c r="C78" t="str">
        <v>10.  التوافق الكهرومغناطيسي والترشيح</v>
      </c>
    </row>
    <row r="79">
      <c r="B79">
        <v>6</v>
      </c>
      <c r="C79" t="str">
        <v>الهندسة الميكانيكية والصناعية</v>
      </c>
    </row>
    <row r="80">
      <c r="B80" t="str">
        <v>01.  المعدات الصناعية المبتكرة والآلات الخاصة</v>
      </c>
      <c r="C80" t="str">
        <v>02.  الأدوات والقوالب وأنظمة التثبيت المتقدمة</v>
      </c>
    </row>
    <row r="81">
      <c r="B81" t="str">
        <v>03.  أنظمة الإنتاج الآلية والمرنة</v>
      </c>
      <c r="C81" t="str">
        <v>04.  المعدات الزراعية والمعدات الزراعية-الميكانيكية</v>
      </c>
    </row>
    <row r="82">
      <c r="B82" t="str">
        <v>05.  التغليف والتعبئة المبتكرة</v>
      </c>
      <c r="C82" t="str">
        <v>06.  الطباعة ثلاثية الأبعاد الصناعية والتصنيع الإضافي المعدني</v>
      </c>
    </row>
    <row r="83">
      <c r="B83" t="str">
        <v>07.  الأنظمة الهيدروليكية والهوائية المبتكرة</v>
      </c>
      <c r="C83" t="str">
        <v>08.  معدات الرفع والمناولة والتخزين</v>
      </c>
    </row>
    <row r="84">
      <c r="B84" t="str">
        <v>09.  علم الاحتكاك والتشحيم والصيانة الصناعية</v>
      </c>
      <c r="C84" t="str">
        <v>10.  الصناعة 4.0: المصنع المتصل، التوائم الرقمية، محاكاة وتحسين الإنتاج</v>
      </c>
    </row>
    <row r="85">
      <c r="B85">
        <v>7</v>
      </c>
      <c r="C85" t="str">
        <v>هندسة العمليات والبيئة</v>
      </c>
    </row>
    <row r="86">
      <c r="B86" t="str">
        <v>01.  معالجة وتنقية مياه الشرب</v>
      </c>
      <c r="C86" t="str">
        <v>02.  تحلية مياه البحر والمياه المالحة</v>
      </c>
    </row>
    <row r="87">
      <c r="B87" t="str">
        <v>03.  معالجة وإعادة تدوير المياه المستعملة</v>
      </c>
      <c r="C87" t="str">
        <v>04.  إدارة وفرز وتثمين النفايات الصلبة</v>
      </c>
    </row>
    <row r="88">
      <c r="B88" t="str">
        <v>05.  إزالة التلوث من التربة والهواء والأوساط المائية</v>
      </c>
      <c r="C88" t="str">
        <v>06.  كفاءة الطاقة في العمليات الصناعية</v>
      </c>
    </row>
    <row r="89">
      <c r="B89" t="str">
        <v>07.  المواد الحيوية المصدر والمواد البيئية البديلة</v>
      </c>
      <c r="C89" t="str">
        <v>08.  احتجاز ثاني أكسيد الكربون وتثمينه</v>
      </c>
    </row>
    <row r="90">
      <c r="B90" t="str">
        <v>09.  عمليات التسميد الحيوي والتخمر الميتاني</v>
      </c>
      <c r="C90" t="str">
        <v>10.  المراقبة البيئية (هواء، ماء، تربة)</v>
      </c>
    </row>
    <row r="91">
      <c r="B91">
        <v>8</v>
      </c>
      <c r="C91" t="str">
        <v>التكنولوجيا الحيوية وعلوم الحياة</v>
      </c>
    </row>
    <row r="92">
      <c r="B92" t="str">
        <v>01.  علم الأحياء الجزيئي وعلم الجينوم والتسلسل</v>
      </c>
      <c r="C92" t="str">
        <v>02.  التكنولوجيا الحيوية الزراعية وتحسين الأصناف</v>
      </c>
    </row>
    <row r="93">
      <c r="B93" t="str">
        <v>03.  الإنتاج الحيوي والتخمر والمفاعلات الحيوية</v>
      </c>
      <c r="C93" t="str">
        <v>04.  التشخيص البيولوجي السريع (مجموعات، شرائط، PCR)</v>
      </c>
    </row>
    <row r="94">
      <c r="B94" t="str">
        <v>05.  المعلوماتية الحيوية وتحليل البيانات البيولوجية</v>
      </c>
      <c r="C94" t="str">
        <v>06.  الطب الحيوي والمواد الحيوية (زرعات، سقالات)</v>
      </c>
    </row>
    <row r="95">
      <c r="B95" t="str">
        <v>07.  التكنولوجيا الحيوية البحرية والطحالب</v>
      </c>
      <c r="C95" t="str">
        <v>08.  البروبيوتيك والبريبيوتيك والميكروبيوم</v>
      </c>
    </row>
    <row r="96">
      <c r="B96" t="str">
        <v>09.  الإنزيمات الصناعية والتحفيز الحيوي</v>
      </c>
      <c r="C96" t="str">
        <v>10.  المبيدات الحيوية والمكافحة الحيوية الزراعية</v>
      </c>
    </row>
    <row r="97">
      <c r="B97">
        <v>9</v>
      </c>
      <c r="C97" t="str">
        <v>الصحة والصيدلة والأجهزة الطبية</v>
      </c>
    </row>
    <row r="98">
      <c r="B98" t="str">
        <v>01.  الأدوية الجنيسة والأشكال الصيدلانية الجديدة</v>
      </c>
      <c r="C98" t="str">
        <v>02.  المكملات الغذائية والمنتجات الصيدلانية الغذائية</v>
      </c>
    </row>
    <row r="99">
      <c r="B99" t="str">
        <v>03.  أجهزة التشخيص الطبي في المختبر وفي الجسم</v>
      </c>
      <c r="C99" t="str">
        <v>04.  المعدات الطبية والجراحية المبتكرة</v>
      </c>
    </row>
    <row r="100">
      <c r="B100" t="str">
        <v>05.  الطب عن بُعد، الصحة المتصلة ومراقبة المريض</v>
      </c>
      <c r="C100" t="str">
        <v>06.  الجبائر والأطراف الصناعية والغرسات المخصصة</v>
      </c>
    </row>
    <row r="101">
      <c r="B101" t="str">
        <v>07.  مستحضرات التجميل والصيدلة الجلدية والعناية بالبشرة</v>
      </c>
      <c r="C101" t="str">
        <v>08.  المستلزمات الطبية المبتكرة أحادية الاستخدام</v>
      </c>
    </row>
    <row r="102">
      <c r="B102" t="str">
        <v>09.  العلاج بالنباتات وتثمين الطب التقليدي</v>
      </c>
      <c r="C102" t="str">
        <v>10.  حلول للصحة النفسية والرفاهية</v>
      </c>
    </row>
    <row r="103">
      <c r="B103">
        <v>10</v>
      </c>
      <c r="C103" t="str">
        <v>الصناعات الغذائية والتغذية والزراعة</v>
      </c>
    </row>
    <row r="104">
      <c r="B104" t="str">
        <v>01.  تحويل وحفظ الأغذية بطرق مبتكرة</v>
      </c>
      <c r="C104" t="str">
        <v>02.  الأغذية الوظيفية والمدعمة والمحصنة</v>
      </c>
    </row>
    <row r="105">
      <c r="B105" t="str">
        <v>03.  تغذية الرضع والأطفال وكبار السن</v>
      </c>
      <c r="C105" t="str">
        <v>04.  التغذية الحيوانية وتربية الأحياء المائية والأسماك</v>
      </c>
    </row>
    <row r="106">
      <c r="B106" t="str">
        <v>05.  الزراعة الدقيقة وأنظمة الري الذكية</v>
      </c>
      <c r="C106" t="str">
        <v>06.  البيوت البلاستيكية الذكية والزراعة المائية والهوائية</v>
      </c>
    </row>
    <row r="107">
      <c r="B107" t="str">
        <v>07.  تثمين المنتجات الفرعية والمشتركة الزراعية</v>
      </c>
      <c r="C107" t="str">
        <v>08.  البروتينات الجديدة (حشرات، بقوليات، طحالب)</v>
      </c>
    </row>
    <row r="108">
      <c r="B108" t="str">
        <v>09.  التغليف الغذائي النشط والقابل للتحلل البيولوجي</v>
      </c>
      <c r="C108" t="str">
        <v>10.  التتبع والجودة في سلسلة الغذاء</v>
      </c>
    </row>
    <row r="109">
      <c r="B109">
        <v>11</v>
      </c>
      <c r="C109" t="str">
        <v>المواد والكيمياء وتكنولوجيا النانو</v>
      </c>
    </row>
    <row r="110">
      <c r="B110" t="str">
        <v>01.  المواد المركبة المتقدمة (ألياف الكربون، الهجينة)</v>
      </c>
      <c r="C110" t="str">
        <v>02.  الطلاءات الوظيفية ومعالجات السطح</v>
      </c>
    </row>
    <row r="111">
      <c r="B111" t="str">
        <v>03.  المواد النانوية والمركبات النانوية</v>
      </c>
      <c r="C111" t="str">
        <v>04.  مواد البناء والهندسة المدنية</v>
      </c>
    </row>
    <row r="112">
      <c r="B112" t="str">
        <v>05.  البوليمرات الحيوية المصدر والقابلة للتحلل وإعادة التدوير</v>
      </c>
      <c r="C112" t="str">
        <v>06.  المواد الحرارية والسيراميك التقني</v>
      </c>
    </row>
    <row r="113">
      <c r="B113" t="str">
        <v>07.  مواد الطاقة (بطاريات، كهروضوئي)</v>
      </c>
      <c r="C113" t="str">
        <v>08.  الأصبغة والصبغات والتركيبات الكيميائية الخاصة</v>
      </c>
    </row>
    <row r="114">
      <c r="B114" t="str">
        <v>09.  المواد الماصة والمرشحة والفاصلة</v>
      </c>
      <c r="C114" t="str">
        <v>10.  الكيمياء الخضراء والعمليات الخالية من المذيبات</v>
      </c>
    </row>
    <row r="115">
      <c r="B115">
        <v>12</v>
      </c>
      <c r="C115" t="str">
        <v>البناء والسكن والهندسة المدنية</v>
      </c>
    </row>
    <row r="116">
      <c r="B116" t="str">
        <v>01.  مواد البناء المبتكرة والخفيفة</v>
      </c>
      <c r="C116" t="str">
        <v>02.  البناء النمطي والمسبق الصنع وخارج الموقع</v>
      </c>
    </row>
    <row r="117">
      <c r="B117" t="str">
        <v>03.  السكن المستدام والمنزل السلبي والبيومناخي</v>
      </c>
      <c r="C117" t="str">
        <v>04.  أنظمة المراقبة الهيكلية والصيانة التنبؤية</v>
      </c>
    </row>
    <row r="118">
      <c r="B118" t="str">
        <v>05.  التجديد الطاقي والعزل الحراري المتقدم</v>
      </c>
      <c r="C118" t="str">
        <v>06.  أنظمة الإدارة التقنية للمباني (GTB/BMS)</v>
      </c>
    </row>
    <row r="119">
      <c r="B119" t="str">
        <v>07.  الخرسانات الخاصة (ذاتية الرص، المليفة، الجيوبوليمرية)</v>
      </c>
      <c r="C119" t="str">
        <v>08.  الأساسات والجيوتقنية المبتكرة</v>
      </c>
    </row>
    <row r="120">
      <c r="B120" t="str">
        <v>09.  أنظمة الصرف وإدارة مياه الأمطار</v>
      </c>
      <c r="C120" t="str">
        <v>10.  BIM (نمذجة بيانات المبنى) والتوائم الرقمية</v>
      </c>
    </row>
    <row r="121">
      <c r="B121">
        <v>13</v>
      </c>
      <c r="C121" t="str">
        <v>الطاقة والتنمية المستدامة</v>
      </c>
    </row>
    <row r="122">
      <c r="B122" t="str">
        <v>01.  الطاقة الشمسية الكهروضوئية المبتكرة (خلايا، أنظمة)</v>
      </c>
      <c r="C122" t="str">
        <v>02.  طاقة الرياح والطاقة الريحية الصغيرة الحضرية أو الريفية</v>
      </c>
    </row>
    <row r="123">
      <c r="B123" t="str">
        <v>03.  الهيدروجين الأخضر (إنتاج، تخزين، خلايا وقود)</v>
      </c>
      <c r="C123" t="str">
        <v>04.  الغاز الحيوي والكتلة الأحيائية وتثمين طاقة النفايات</v>
      </c>
    </row>
    <row r="124">
      <c r="B124" t="str">
        <v>05.  الأنظمة الهجينة ومتعددة المصادر لإنتاج الطاقة</v>
      </c>
      <c r="C124" t="str">
        <v>06.  الشبكات الصغيرة المستقلة (micro-grids) والشبكة الذكية</v>
      </c>
    </row>
    <row r="125">
      <c r="B125" t="str">
        <v>07.  الطاقة الحرارية الشمسية، الجيوحرارية واسترجاع الحرارة</v>
      </c>
      <c r="C125" t="str">
        <v>08.  أنظمة إدارة الطاقة (EMS) وكفاءة الطاقة</v>
      </c>
    </row>
    <row r="126">
      <c r="B126" t="str">
        <v>09.  الإضاءة الذكية وتكنولوجيا LED المبتكرة</v>
      </c>
      <c r="C126" t="str">
        <v>10.  الحياد الكربوني، الميزان الكربوني وحلول انخفاض الكربون</v>
      </c>
    </row>
    <row r="127">
      <c r="B127">
        <v>14</v>
      </c>
      <c r="C127" t="str">
        <v>النقل والتنقل واللوجستيك</v>
      </c>
    </row>
    <row r="128">
      <c r="B128" t="str">
        <v>01.  المركبات الكهربائية والهجينة (تصميم، مكونات)</v>
      </c>
      <c r="C128" t="str">
        <v>02.  التنقل اللطيف (دراجات، سكوترات كهربائية)</v>
      </c>
    </row>
    <row r="129">
      <c r="B129" t="str">
        <v>03.  أنظمة مساعدة القيادة والمركبات ذاتية القيادة</v>
      </c>
      <c r="C129" t="str">
        <v>04.  إدارة الأسطول وتحسين اللوجستيك</v>
      </c>
    </row>
    <row r="130">
      <c r="B130" t="str">
        <v>05.  طائرات التوصيل المسيّرة والشحن الجوي المستقل</v>
      </c>
      <c r="C130" t="str">
        <v>06.  النقل البحري والنهري المبتكر</v>
      </c>
    </row>
    <row r="131">
      <c r="B131" t="str">
        <v>07.  البنية التحتية للشحن والمحطات الذكية</v>
      </c>
      <c r="C131" t="str">
        <v>08.  أنظمة التذاكر والتنقل الحضري المتكامل</v>
      </c>
    </row>
    <row r="132">
      <c r="B132" t="str">
        <v>09.  لوجستيك الميل الأخير وسلسلة التبريد</v>
      </c>
      <c r="C132" t="str">
        <v>10.  أنظمة الملاحة والرسم الخرائطي المبتكرة</v>
      </c>
    </row>
    <row r="133">
      <c r="B133">
        <v>15</v>
      </c>
      <c r="C133" t="str">
        <v>الخدمات والاقتصاد الإبداعي والإدماج</v>
      </c>
    </row>
    <row r="134">
      <c r="B134" t="str">
        <v>01.  السياحة الرقمية والتراث والواقع المعزز</v>
      </c>
      <c r="C134" t="str">
        <v>02.  الصناعات الإبداعية والثقافية الرقمية (ألعاب فيديو، رسوم متحركة)</v>
      </c>
    </row>
    <row r="135">
      <c r="B135" t="str">
        <v>03.  تكنولوجيا الرياضة والمعدات الرياضية المبتكرة</v>
      </c>
      <c r="C135" t="str">
        <v>04.  حلول لذوي الاحتياجات الخاصة (إمكانية الوصول، الإعاقة)</v>
      </c>
    </row>
    <row r="136">
      <c r="B136" t="str">
        <v>05.  الخدمات الشخصية، اقتصاد الفضة ومساعدة كبار السن</v>
      </c>
      <c r="C136" t="str">
        <v>06.  تكنولوجيا التأمين وإدارة المخاطر المبتكرة</v>
      </c>
    </row>
    <row r="137">
      <c r="B137" t="str">
        <v>07.  تكنولوجيا الموارد البشرية وإدارتها بشكل مبتكر</v>
      </c>
      <c r="C137" t="str">
        <v>08.  الاقتصاد الدائري ومنصات التشارك</v>
      </c>
    </row>
    <row r="138">
      <c r="B138" t="str">
        <v>09.  حلول التوظيف والتكوين والتوجيه</v>
      </c>
      <c r="C138" t="str">
        <v>10.  تكنولوجيا المواطنة والمشاركة المدنية الرقمية</v>
      </c>
    </row>
  </sheetData>
  <mergeCells count="6">
    <mergeCell ref="B47:C47"/>
    <mergeCell ref="B1:C1"/>
    <mergeCell ref="B3:C3"/>
    <mergeCell ref="B21:C21"/>
    <mergeCell ref="B32:C32"/>
    <mergeCell ref="B42:C42"/>
  </mergeCells>
  <pageMargins left="0.75" right="0.75" top="1" bottom="1" header="0.511811023622047" footer="0.511811023622047"/>
  <ignoredErrors>
    <ignoredError numberStoredAsText="1" sqref="A1:Z1000"/>
  </ignoredErrors>
</worksheet>
</file>

<file path=docProps/app.xml><?xml version="1.0" encoding="utf-8"?>
<Properties xmlns="http://schemas.openxmlformats.org/officeDocument/2006/extended-properties" xmlns:vt="http://schemas.openxmlformats.org/officeDocument/2006/docPropsVTypes">
  <Application>SheetJS</Application>
  <AppVersion>15.0300</AppVersion>
  <DocSecurity>0</DocSecurity>
  <HyperlinksChanged>false</HyperlinksChanged>
  <SharedDoc>false</SharedDoc>
  <LinksUpToDate>false</LinksUpToDate>
  <ScaleCrop>false</ScaleCrop>
  <HeadingPairs>
    <vt:vector size="2" baseType="variant">
      <vt:variant>
        <vt:lpstr>Worksheets</vt:lpstr>
      </vt:variant>
      <vt:variant>
        <vt:i4>5</vt:i4>
      </vt:variant>
    </vt:vector>
  </HeadingPairs>
  <TitlesOfParts>
    <vt:vector size="5" baseType="lpstr">
      <vt:lpstr>01 - معلومات المشروع</vt:lpstr>
      <vt:lpstr>02 - الميزانية التفصيلية</vt:lpstr>
      <vt:lpstr>03 - الملخص</vt:lpstr>
      <vt:lpstr>04 - دفتر الشروط</vt:lpstr>
      <vt:lpstr>05 - الدليل السريع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2026-06-27T17:44:44Z</dcterms:created>
  <dcterms:modified xsi:type="dcterms:W3CDTF">2026-08-14T08:22:14Z</dcterms:modified>
  <cp:lastModifiedBy>Master</cp:lastModifiedBy>
  <cp:revision>0</cp:revision>
  <dc:creator>openpyxl</dc:creator>
  <dc:language>en-US</dc:language>
</cp:coreProperties>
</file>